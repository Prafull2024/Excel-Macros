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75" windowWidth="19440" windowHeight="7935"/>
  </bookViews>
  <sheets>
    <sheet name="TxInv" sheetId="1" r:id="rId1"/>
    <sheet name="Outsource" sheetId="2" r:id="rId2"/>
    <sheet name="Sheet3" sheetId="3" r:id="rId3"/>
    <sheet name="Sheet1" sheetId="4" r:id="rId4"/>
  </sheets>
  <functionGroups builtInGroupCount="17"/>
  <definedNames>
    <definedName name="Date">Outsource!$D$2</definedName>
    <definedName name="HSN_SAC">Outsource!$H$2:$H$11</definedName>
    <definedName name="Material">Outsource!$A$2:$A$20</definedName>
    <definedName name="Place">Outsource!$F$2:$F$20</definedName>
    <definedName name="Srmo1">Outsource!$I$2</definedName>
    <definedName name="Srmo10">Outsource!$R$2</definedName>
    <definedName name="Srmo2">Outsource!$J$2</definedName>
    <definedName name="Srmo3">Outsource!$K$2</definedName>
    <definedName name="Srmo4">Outsource!$L$2</definedName>
    <definedName name="Srmo5">Outsource!$M$2</definedName>
    <definedName name="Srmo6">Outsource!$N$2</definedName>
    <definedName name="Srmo7">Outsource!$O$2</definedName>
    <definedName name="Srmo8">Outsource!$P$2</definedName>
    <definedName name="Srmo9">Outsource!$Q$2</definedName>
    <definedName name="Tax">Outsource!$C$2:$C$11</definedName>
    <definedName name="Termofpayment">Outsource!$G$2:$G$20</definedName>
    <definedName name="Time">Outsource!$E$2</definedName>
    <definedName name="Unit">Outsource!$B$2:$B$20</definedName>
  </definedNames>
  <calcPr calcId="145621" calcMode="autoNoTable"/>
</workbook>
</file>

<file path=xl/calcChain.xml><?xml version="1.0" encoding="utf-8"?>
<calcChain xmlns="http://schemas.openxmlformats.org/spreadsheetml/2006/main">
  <c r="L24" i="1" l="1"/>
  <c r="L25" i="1"/>
  <c r="O25" i="1" s="1"/>
  <c r="L26" i="1"/>
  <c r="O26" i="1" s="1"/>
  <c r="L27" i="1"/>
  <c r="O27" i="1" s="1"/>
  <c r="L28" i="1"/>
  <c r="O28" i="1" s="1"/>
  <c r="L29" i="1"/>
  <c r="O29" i="1" s="1"/>
  <c r="L30" i="1"/>
  <c r="O30" i="1" s="1"/>
  <c r="L31" i="1"/>
  <c r="O31" i="1" s="1"/>
  <c r="L32" i="1"/>
  <c r="O32" i="1" s="1"/>
  <c r="L33" i="1"/>
  <c r="O33" i="1" s="1"/>
  <c r="E2" i="2"/>
  <c r="D2" i="2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3" i="3"/>
  <c r="M34" i="1" l="1"/>
  <c r="O24" i="1"/>
  <c r="O34" i="1" s="1"/>
  <c r="M36" i="1" s="1"/>
  <c r="M37" i="1" s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20" i="3"/>
  <c r="I21" i="3"/>
  <c r="I22" i="3"/>
  <c r="I2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2" i="3"/>
  <c r="M39" i="1" l="1"/>
  <c r="F40" i="1"/>
  <c r="M10" i="1" l="1"/>
</calcChain>
</file>

<file path=xl/sharedStrings.xml><?xml version="1.0" encoding="utf-8"?>
<sst xmlns="http://schemas.openxmlformats.org/spreadsheetml/2006/main" count="1095" uniqueCount="424">
  <si>
    <t>Tax Invoice</t>
  </si>
  <si>
    <t>ORIGINAL FOR RECIPIENT</t>
  </si>
  <si>
    <t>FROM</t>
  </si>
  <si>
    <t>GSTIN</t>
  </si>
  <si>
    <t>:</t>
  </si>
  <si>
    <t>27AGSPJ6158Q1ZC</t>
  </si>
  <si>
    <t>Invoice #</t>
  </si>
  <si>
    <t>Total Amount</t>
  </si>
  <si>
    <t>Invoice Date</t>
  </si>
  <si>
    <t>BILLED TO</t>
  </si>
  <si>
    <t>SHIPPED TO</t>
  </si>
  <si>
    <t>PURCHASE ORDER DATE</t>
  </si>
  <si>
    <t>Sr.No.</t>
  </si>
  <si>
    <t>ITEM  &amp;  DESCRIPTION</t>
  </si>
  <si>
    <t>HSN/SAC CODE</t>
  </si>
  <si>
    <t>QTY</t>
  </si>
  <si>
    <t>UNIT OF MEASURE</t>
  </si>
  <si>
    <t>UNIT RATE</t>
  </si>
  <si>
    <t>TAXABLE VALUE</t>
  </si>
  <si>
    <t>SUB TOTAL</t>
  </si>
  <si>
    <t>Add Round Off</t>
  </si>
  <si>
    <t>GRAND TOTAL</t>
  </si>
  <si>
    <t>In words</t>
  </si>
  <si>
    <t xml:space="preserve">                          Receiver's Signature</t>
  </si>
  <si>
    <t>For : OM NAMAH SHIVAY ENTERPRISES</t>
  </si>
  <si>
    <t>Authorised Signature</t>
  </si>
  <si>
    <r>
      <t xml:space="preserve">OM NAMAH SHIVAY ENTERPRISES
</t>
    </r>
    <r>
      <rPr>
        <sz val="11"/>
        <color theme="1"/>
        <rFont val="Calibri"/>
        <family val="2"/>
        <scheme val="minor"/>
      </rPr>
      <t>SHANIVAR PATIL NAGAR ROAD,
MOHONE, TAL.KALYAN (THANE).</t>
    </r>
  </si>
  <si>
    <r>
      <rPr>
        <sz val="8.3000000000000007"/>
        <color theme="1"/>
        <rFont val="Calibri"/>
        <family val="2"/>
        <scheme val="minor"/>
      </rPr>
      <t>I/We here certify that my/our registration certificate under the Goods &amp; Service Tax Act, 2017 is in force on which the date supply of goods &amp; services specified in the Tax Invoice is made by me/us and it shall be accounted for in the turnover of supply while filling of return &amp; the due tax, If any payable on the supply has been paid or shall be paid.</t>
    </r>
    <r>
      <rPr>
        <sz val="9"/>
        <color theme="1"/>
        <rFont val="Calibri"/>
        <family val="2"/>
        <scheme val="minor"/>
      </rPr>
      <t xml:space="preserve">
</t>
    </r>
    <r>
      <rPr>
        <b/>
        <sz val="12"/>
        <color theme="1"/>
        <rFont val="Calibri"/>
        <family val="2"/>
        <scheme val="minor"/>
      </rPr>
      <t>GST No. : 27AGSPJ6158Q1ZC.</t>
    </r>
  </si>
  <si>
    <t>Term of Payment</t>
  </si>
  <si>
    <t>TextBox1</t>
  </si>
  <si>
    <t>ComboBox1</t>
  </si>
  <si>
    <t>TextBox2</t>
  </si>
  <si>
    <t>ComboBox2</t>
  </si>
  <si>
    <t>TextBox3</t>
  </si>
  <si>
    <t>TextBox4</t>
  </si>
  <si>
    <t>TextBox5</t>
  </si>
  <si>
    <t>TextBox6</t>
  </si>
  <si>
    <t>TextBox7</t>
  </si>
  <si>
    <t>TextBox8</t>
  </si>
  <si>
    <t>TextBox9</t>
  </si>
  <si>
    <t>TextBox10</t>
  </si>
  <si>
    <t>TextBox11</t>
  </si>
  <si>
    <t>TextBox12</t>
  </si>
  <si>
    <t>TextBox13</t>
  </si>
  <si>
    <t>TextBox14</t>
  </si>
  <si>
    <t>TextBox15</t>
  </si>
  <si>
    <t>TextBox16</t>
  </si>
  <si>
    <t>TextBox17</t>
  </si>
  <si>
    <t>TextBox18</t>
  </si>
  <si>
    <t>TextBox19</t>
  </si>
  <si>
    <t>TextBox20</t>
  </si>
  <si>
    <t>TextBox21</t>
  </si>
  <si>
    <t>TextBox22</t>
  </si>
  <si>
    <t>TextBox23</t>
  </si>
  <si>
    <t>TextBox24</t>
  </si>
  <si>
    <t>TextBox25</t>
  </si>
  <si>
    <t>TextBox26</t>
  </si>
  <si>
    <t>TextBox27</t>
  </si>
  <si>
    <t>TextBox28</t>
  </si>
  <si>
    <t>TextBox29</t>
  </si>
  <si>
    <t>TextBox30</t>
  </si>
  <si>
    <t>ComboBox3</t>
  </si>
  <si>
    <t>ComboBox4</t>
  </si>
  <si>
    <t>ComboBox5</t>
  </si>
  <si>
    <t>ComboBox6</t>
  </si>
  <si>
    <t>ComboBox7</t>
  </si>
  <si>
    <t>ComboBox8</t>
  </si>
  <si>
    <t>ComboBox9</t>
  </si>
  <si>
    <t>ComboBox10</t>
  </si>
  <si>
    <t>ComboBox11</t>
  </si>
  <si>
    <t>ComboBox12</t>
  </si>
  <si>
    <t>ComboBox13</t>
  </si>
  <si>
    <t>ComboBox14</t>
  </si>
  <si>
    <t>ComboBox15</t>
  </si>
  <si>
    <t>ComboBox16</t>
  </si>
  <si>
    <t>ComboBox17</t>
  </si>
  <si>
    <t>ComboBox18</t>
  </si>
  <si>
    <t>ComboBox19</t>
  </si>
  <si>
    <t>ComboBox20</t>
  </si>
  <si>
    <t>ComboBox21</t>
  </si>
  <si>
    <t>ComboBox22</t>
  </si>
  <si>
    <t>ComboBox23</t>
  </si>
  <si>
    <t>ComboBox24</t>
  </si>
  <si>
    <t>ComboBox25</t>
  </si>
  <si>
    <t>ComboBox26</t>
  </si>
  <si>
    <t>ComboBox27</t>
  </si>
  <si>
    <t>ComboBox28</t>
  </si>
  <si>
    <t>ComboBox29</t>
  </si>
  <si>
    <t>ComboBox30</t>
  </si>
  <si>
    <t>ComboBox31</t>
  </si>
  <si>
    <t>ComboBox32</t>
  </si>
  <si>
    <t>ComboBox33</t>
  </si>
  <si>
    <t>ComboBox34</t>
  </si>
  <si>
    <t>ComboBox35</t>
  </si>
  <si>
    <t>ComboBox36</t>
  </si>
  <si>
    <t>ComboBox37</t>
  </si>
  <si>
    <t>ComboBox38</t>
  </si>
  <si>
    <t>ComboBox39</t>
  </si>
  <si>
    <t>ComboBox40</t>
  </si>
  <si>
    <t>ComboBox41</t>
  </si>
  <si>
    <t>ComboBox42</t>
  </si>
  <si>
    <t>ComboBox43</t>
  </si>
  <si>
    <t>ComboBox44</t>
  </si>
  <si>
    <t>ComboBox45</t>
  </si>
  <si>
    <t>ComboBox46</t>
  </si>
  <si>
    <t>ComboBox47</t>
  </si>
  <si>
    <t>ComboBox48</t>
  </si>
  <si>
    <t>ComboBox49</t>
  </si>
  <si>
    <t>ComboBox50</t>
  </si>
  <si>
    <t>ComboBox51</t>
  </si>
  <si>
    <t>ComboBox52</t>
  </si>
  <si>
    <t>ComboBox53</t>
  </si>
  <si>
    <t>ComboBox54</t>
  </si>
  <si>
    <t>Range</t>
  </si>
  <si>
    <t>("</t>
  </si>
  <si>
    <t>")</t>
  </si>
  <si>
    <t>.value=</t>
  </si>
  <si>
    <t>.Text</t>
  </si>
  <si>
    <t>M9</t>
  </si>
  <si>
    <t>D16</t>
  </si>
  <si>
    <t>A17</t>
  </si>
  <si>
    <t>A18</t>
  </si>
  <si>
    <t>A19</t>
  </si>
  <si>
    <t>F20</t>
  </si>
  <si>
    <t>F21</t>
  </si>
  <si>
    <t>K16</t>
  </si>
  <si>
    <t>I17</t>
  </si>
  <si>
    <t>I18</t>
  </si>
  <si>
    <t>I19</t>
  </si>
  <si>
    <t>H24</t>
  </si>
  <si>
    <t>H25</t>
  </si>
  <si>
    <t>H26</t>
  </si>
  <si>
    <t>H27</t>
  </si>
  <si>
    <t>H29</t>
  </si>
  <si>
    <t>H30</t>
  </si>
  <si>
    <t>H31</t>
  </si>
  <si>
    <t>H32</t>
  </si>
  <si>
    <t>H33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</si>
  <si>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</si>
  <si>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</si>
  <si>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</si>
  <si>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</si>
  <si>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</si>
  <si>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</si>
  <si>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</si>
  <si>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</si>
  <si>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</si>
  <si>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</si>
  <si>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M11</t>
  </si>
  <si>
    <t>M12</t>
  </si>
  <si>
    <t>M20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</si>
  <si>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</si>
  <si>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</si>
  <si>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</si>
  <si>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</si>
  <si>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</si>
  <si>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</si>
  <si>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</si>
  <si>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</si>
  <si>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</si>
  <si>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</si>
  <si>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</si>
  <si>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</si>
  <si>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</si>
  <si>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</si>
  <si>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</si>
  <si>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</si>
  <si>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</si>
  <si>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</si>
  <si>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</si>
  <si>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</si>
  <si>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G24</t>
  </si>
  <si>
    <t>G25</t>
  </si>
  <si>
    <t>G26</t>
  </si>
  <si>
    <t>G27</t>
  </si>
  <si>
    <t>G28</t>
  </si>
  <si>
    <t>G29</t>
  </si>
  <si>
    <t>G30</t>
  </si>
  <si>
    <t>G31</t>
  </si>
  <si>
    <t>G32</t>
  </si>
  <si>
    <t>G33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</si>
  <si>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</si>
  <si>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</si>
  <si>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</si>
  <si>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</si>
  <si>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</si>
  <si>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</si>
  <si>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</si>
  <si>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</si>
  <si>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</si>
  <si>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</si>
  <si>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N24</t>
  </si>
  <si>
    <t>N25</t>
  </si>
  <si>
    <t>N26</t>
  </si>
  <si>
    <t>N27</t>
  </si>
  <si>
    <t>N28</t>
  </si>
  <si>
    <t>N29</t>
  </si>
  <si>
    <t>N30</t>
  </si>
  <si>
    <t>N31</t>
  </si>
  <si>
    <t>N32</t>
  </si>
  <si>
    <t>N33</t>
  </si>
  <si>
    <t>Range("M9").value=TextBox1.Text</t>
  </si>
  <si>
    <t>Range("D16").value=TextBox2.Text</t>
  </si>
  <si>
    <t>Range("A17").value=TextBox3.Text</t>
  </si>
  <si>
    <t>Range("A18").value=TextBox4.Text</t>
  </si>
  <si>
    <t>Range("A19").value=TextBox5.Text</t>
  </si>
  <si>
    <t>Range("F21").value=TextBox6.Text</t>
  </si>
  <si>
    <t>Range("K16").value=TextBox7.Text</t>
  </si>
  <si>
    <t>Range("I17").value=TextBox8.Text</t>
  </si>
  <si>
    <t>Range("I18").value=TextBox9.Text</t>
  </si>
  <si>
    <t>Range("I19").value=TextBox10.Text</t>
  </si>
  <si>
    <t>Range("H24").value=TextBox11.Text</t>
  </si>
  <si>
    <t>Range("H25").value=TextBox12.Text</t>
  </si>
  <si>
    <t>Range("H26").value=TextBox13.Text</t>
  </si>
  <si>
    <t>Range("H27").value=TextBox14.Text</t>
  </si>
  <si>
    <t>Range("H28").value=TextBox15.Text</t>
  </si>
  <si>
    <t>Range("H29").value=TextBox16.Text</t>
  </si>
  <si>
    <t>Range("H30").value=TextBox17.Text</t>
  </si>
  <si>
    <t>Range("H31").value=TextBox18.Text</t>
  </si>
  <si>
    <t>Range("H32").value=TextBox19.Text</t>
  </si>
  <si>
    <t>Range("H33").value=TextBox20.Text</t>
  </si>
  <si>
    <t>Range("K24").value=TextBox21.Text</t>
  </si>
  <si>
    <t>Range("K25").value=TextBox22.Text</t>
  </si>
  <si>
    <t>Range("K26").value=TextBox23.Text</t>
  </si>
  <si>
    <t>Range("K27").value=TextBox24.Text</t>
  </si>
  <si>
    <t>Range("K28").value=TextBox25.Text</t>
  </si>
  <si>
    <t>Range("K29").value=TextBox26.Text</t>
  </si>
  <si>
    <t>Range("K30").value=TextBox27.Text</t>
  </si>
  <si>
    <t>Range("K31").value=TextBox28.Text</t>
  </si>
  <si>
    <t>Range("K32").value=TextBox29.Text</t>
  </si>
  <si>
    <t>Range("K33").value=TextBox30.Text</t>
  </si>
  <si>
    <t>Range("M11").value=ComboBox1.Text</t>
  </si>
  <si>
    <t>Range("M12").value=ComboBox2.Text</t>
  </si>
  <si>
    <t>Range("F20").value=ComboBox3.Text</t>
  </si>
  <si>
    <t>Range("M20").value=ComboBox4.Text</t>
  </si>
  <si>
    <t>Range("A24").value=ComboBox5.Text</t>
  </si>
  <si>
    <t>Range("A25").value=ComboBox6.Text</t>
  </si>
  <si>
    <t>Range("A26").value=ComboBox7.Text</t>
  </si>
  <si>
    <t>Range("A27").value=ComboBox8.Text</t>
  </si>
  <si>
    <t>Range("A28").value=ComboBox9.Text</t>
  </si>
  <si>
    <t>Range("A29").value=ComboBox10.Text</t>
  </si>
  <si>
    <t>Range("A30").value=ComboBox11.Text</t>
  </si>
  <si>
    <t>Range("A31").value=ComboBox12.Text</t>
  </si>
  <si>
    <t>Range("A32").value=ComboBox13.Text</t>
  </si>
  <si>
    <t>Range("A33").value=ComboBox14.Text</t>
  </si>
  <si>
    <t>Range("B24").value=ComboBox15.Text</t>
  </si>
  <si>
    <t>Range("B25").value=ComboBox16.Text</t>
  </si>
  <si>
    <t>Range("B26").value=ComboBox17.Text</t>
  </si>
  <si>
    <t>Range("B27").value=ComboBox18.Text</t>
  </si>
  <si>
    <t>Range("B28").value=ComboBox19.Text</t>
  </si>
  <si>
    <t>Range("B29").value=ComboBox20.Text</t>
  </si>
  <si>
    <t>Range("B30").value=ComboBox21.Text</t>
  </si>
  <si>
    <t>Range("B31").value=ComboBox22.Text</t>
  </si>
  <si>
    <t>Range("B32").value=ComboBox23.Text</t>
  </si>
  <si>
    <t>Range("B33").value=ComboBox24.Text</t>
  </si>
  <si>
    <t>Range("G24").value=ComboBox25.Text</t>
  </si>
  <si>
    <t>Range("G25").value=ComboBox26.Text</t>
  </si>
  <si>
    <t>Range("G26").value=ComboBox27.Text</t>
  </si>
  <si>
    <t>Range("G27").value=ComboBox28.Text</t>
  </si>
  <si>
    <t>Range("G28").value=ComboBox29.Text</t>
  </si>
  <si>
    <t>Range("G29").value=ComboBox30.Text</t>
  </si>
  <si>
    <t>Range("G30").value=ComboBox31.Text</t>
  </si>
  <si>
    <t>Range("G31").value=ComboBox32.Text</t>
  </si>
  <si>
    <t>Range("G32").value=ComboBox33.Text</t>
  </si>
  <si>
    <t>Range("G33").value=ComboBox34.Text</t>
  </si>
  <si>
    <t>Range("I24").value=ComboBox35.Text</t>
  </si>
  <si>
    <t>Range("I25").value=ComboBox36.Text</t>
  </si>
  <si>
    <t>Range("I26").value=ComboBox37.Text</t>
  </si>
  <si>
    <t>Range("I27").value=ComboBox38.Text</t>
  </si>
  <si>
    <t>Range("I28").value=ComboBox39.Text</t>
  </si>
  <si>
    <t>Range("I29").value=ComboBox40.Text</t>
  </si>
  <si>
    <t>Range("I30").value=ComboBox41.Text</t>
  </si>
  <si>
    <t>Range("I31").value=ComboBox42.Text</t>
  </si>
  <si>
    <t>Range("I32").value=ComboBox43.Text</t>
  </si>
  <si>
    <t>Range("I33").value=ComboBox44.Text</t>
  </si>
  <si>
    <t>Range("N24").value=ComboBox45.Text</t>
  </si>
  <si>
    <t>Range("N25").value=ComboBox46.Text</t>
  </si>
  <si>
    <t>Range("N26").value=ComboBox47.Text</t>
  </si>
  <si>
    <t>Range("N27").value=ComboBox48.Text</t>
  </si>
  <si>
    <t>Range("N28").value=ComboBox49.Text</t>
  </si>
  <si>
    <t>Range("N29").value=ComboBox50.Text</t>
  </si>
  <si>
    <t>Range("N30").value=ComboBox51.Text</t>
  </si>
  <si>
    <t>Range("N31").value=ComboBox52.Text</t>
  </si>
  <si>
    <t>Range("N32").value=ComboBox53.Text</t>
  </si>
  <si>
    <t>Range("N33").value=ComboBox54.Text</t>
  </si>
  <si>
    <t>clear the data</t>
  </si>
  <si>
    <t>Me.</t>
  </si>
  <si>
    <t>.Value=""</t>
  </si>
  <si>
    <t>Me.TextBox1.Value=""</t>
  </si>
  <si>
    <t>Me.TextBox2.Value=""</t>
  </si>
  <si>
    <t>Me.TextBox3.Value=""</t>
  </si>
  <si>
    <t>Me.TextBox4.Value=""</t>
  </si>
  <si>
    <t>Me.TextBox5.Value=""</t>
  </si>
  <si>
    <t>Me.TextBox6.Value=""</t>
  </si>
  <si>
    <t>Me.TextBox7.Value=""</t>
  </si>
  <si>
    <t>Me.TextBox8.Value=""</t>
  </si>
  <si>
    <t>Me.TextBox9.Value=""</t>
  </si>
  <si>
    <t>Me.TextBox10.Value=""</t>
  </si>
  <si>
    <t>Me.TextBox11.Value=""</t>
  </si>
  <si>
    <t>Me.TextBox12.Value=""</t>
  </si>
  <si>
    <t>Me.TextBox13.Value=""</t>
  </si>
  <si>
    <t>Me.TextBox14.Value=""</t>
  </si>
  <si>
    <t>Me.TextBox15.Value=""</t>
  </si>
  <si>
    <t>Me.TextBox16.Value=""</t>
  </si>
  <si>
    <t>Me.TextBox17.Value=""</t>
  </si>
  <si>
    <t>Me.TextBox18.Value=""</t>
  </si>
  <si>
    <t>Me.TextBox19.Value=""</t>
  </si>
  <si>
    <t>Me.TextBox20.Value=""</t>
  </si>
  <si>
    <t>Me.TextBox21.Value=""</t>
  </si>
  <si>
    <t>Me.TextBox22.Value=""</t>
  </si>
  <si>
    <t>Me.TextBox23.Value=""</t>
  </si>
  <si>
    <t>Me.TextBox24.Value=""</t>
  </si>
  <si>
    <t>Me.TextBox25.Value=""</t>
  </si>
  <si>
    <t>Me.TextBox26.Value=""</t>
  </si>
  <si>
    <t>Me.TextBox27.Value=""</t>
  </si>
  <si>
    <t>Me.TextBox28.Value=""</t>
  </si>
  <si>
    <t>Me.TextBox29.Value=""</t>
  </si>
  <si>
    <t>Me.TextBox30.Value=""</t>
  </si>
  <si>
    <t>Me.ComboBox1.Value=""</t>
  </si>
  <si>
    <t>Me.ComboBox2.Value=""</t>
  </si>
  <si>
    <t>Me.ComboBox3.Value=""</t>
  </si>
  <si>
    <t>Me.ComboBox4.Value=""</t>
  </si>
  <si>
    <t>Me.ComboBox5.Value=""</t>
  </si>
  <si>
    <t>Me.ComboBox6.Value=""</t>
  </si>
  <si>
    <t>Me.ComboBox7.Value=""</t>
  </si>
  <si>
    <t>Me.ComboBox8.Value=""</t>
  </si>
  <si>
    <t>Me.ComboBox9.Value=""</t>
  </si>
  <si>
    <t>Me.ComboBox10.Value=""</t>
  </si>
  <si>
    <t>Me.ComboBox11.Value=""</t>
  </si>
  <si>
    <t>Me.ComboBox12.Value=""</t>
  </si>
  <si>
    <t>Me.ComboBox13.Value=""</t>
  </si>
  <si>
    <t>Me.ComboBox14.Value=""</t>
  </si>
  <si>
    <t>Me.ComboBox15.Value=""</t>
  </si>
  <si>
    <t>Me.ComboBox16.Value=""</t>
  </si>
  <si>
    <t>Me.ComboBox17.Value=""</t>
  </si>
  <si>
    <t>Me.ComboBox18.Value=""</t>
  </si>
  <si>
    <t>Me.ComboBox19.Value=""</t>
  </si>
  <si>
    <t>Me.ComboBox20.Value=""</t>
  </si>
  <si>
    <t>Me.ComboBox21.Value=""</t>
  </si>
  <si>
    <t>Me.ComboBox22.Value=""</t>
  </si>
  <si>
    <t>Me.ComboBox23.Value=""</t>
  </si>
  <si>
    <t>Me.ComboBox24.Value=""</t>
  </si>
  <si>
    <t>Me.ComboBox25.Value=""</t>
  </si>
  <si>
    <t>Me.ComboBox26.Value=""</t>
  </si>
  <si>
    <t>Me.ComboBox27.Value=""</t>
  </si>
  <si>
    <t>Me.ComboBox28.Value=""</t>
  </si>
  <si>
    <t>Me.ComboBox29.Value=""</t>
  </si>
  <si>
    <t>Me.ComboBox30.Value=""</t>
  </si>
  <si>
    <t>Me.ComboBox31.Value=""</t>
  </si>
  <si>
    <t>Me.ComboBox32.Value=""</t>
  </si>
  <si>
    <t>Me.ComboBox33.Value=""</t>
  </si>
  <si>
    <t>Me.ComboBox34.Value=""</t>
  </si>
  <si>
    <t>Me.ComboBox35.Value=""</t>
  </si>
  <si>
    <t>Me.ComboBox36.Value=""</t>
  </si>
  <si>
    <t>Me.ComboBox37.Value=""</t>
  </si>
  <si>
    <t>Me.ComboBox38.Value=""</t>
  </si>
  <si>
    <t>Me.ComboBox39.Value=""</t>
  </si>
  <si>
    <t>Me.ComboBox40.Value=""</t>
  </si>
  <si>
    <t>Me.ComboBox41.Value=""</t>
  </si>
  <si>
    <t>Me.ComboBox42.Value=""</t>
  </si>
  <si>
    <t>Me.ComboBox43.Value=""</t>
  </si>
  <si>
    <t>Me.ComboBox44.Value=""</t>
  </si>
  <si>
    <t>Me.ComboBox45.Value=""</t>
  </si>
  <si>
    <t>Me.ComboBox46.Value=""</t>
  </si>
  <si>
    <t>Me.ComboBox47.Value=""</t>
  </si>
  <si>
    <t>Me.ComboBox48.Value=""</t>
  </si>
  <si>
    <t>Me.ComboBox49.Value=""</t>
  </si>
  <si>
    <t>Me.ComboBox50.Value=""</t>
  </si>
  <si>
    <t>Me.ComboBox51.Value=""</t>
  </si>
  <si>
    <t>Me.ComboBox52.Value=""</t>
  </si>
  <si>
    <t>Me.ComboBox53.Value=""</t>
  </si>
  <si>
    <t>Me.ComboBox54.Value=""</t>
  </si>
  <si>
    <t>Maharashtra</t>
  </si>
  <si>
    <t>Material</t>
  </si>
  <si>
    <t>Rethi</t>
  </si>
  <si>
    <t xml:space="preserve">Cement </t>
  </si>
  <si>
    <t>Cement Sheet</t>
  </si>
  <si>
    <t>PVC Material</t>
  </si>
  <si>
    <t>PVC Pipe</t>
  </si>
  <si>
    <t>Brick (Weet)</t>
  </si>
  <si>
    <t>Phythom Powder</t>
  </si>
  <si>
    <t>Unit</t>
  </si>
  <si>
    <t>Kg.</t>
  </si>
  <si>
    <t>Brass.</t>
  </si>
  <si>
    <t>Goni.</t>
  </si>
  <si>
    <t>nug.</t>
  </si>
  <si>
    <t>mtr.</t>
  </si>
  <si>
    <t>pkt.</t>
  </si>
  <si>
    <t>nos.</t>
  </si>
  <si>
    <t>Tax</t>
  </si>
  <si>
    <t>Add CGST @</t>
  </si>
  <si>
    <t>Add SGST @</t>
  </si>
  <si>
    <t>TAX %</t>
  </si>
  <si>
    <t>Date</t>
  </si>
  <si>
    <t>Time</t>
  </si>
  <si>
    <t>Place</t>
  </si>
  <si>
    <t>Online</t>
  </si>
  <si>
    <t>Cheque</t>
  </si>
  <si>
    <t>NetBanking</t>
  </si>
  <si>
    <t>Cash</t>
  </si>
  <si>
    <t>PAYTM</t>
  </si>
  <si>
    <t>TermofPayment</t>
  </si>
  <si>
    <t>HSN_SAC</t>
  </si>
  <si>
    <t>DISCOUNT</t>
  </si>
  <si>
    <t>Srmo1</t>
  </si>
  <si>
    <t>Srmo2</t>
  </si>
  <si>
    <t>Srmo3</t>
  </si>
  <si>
    <t>Srmo4</t>
  </si>
  <si>
    <t>Srmo5</t>
  </si>
  <si>
    <t>Srmo6</t>
  </si>
  <si>
    <t>Srmo7</t>
  </si>
  <si>
    <t>Srmo8</t>
  </si>
  <si>
    <t>Srmo9</t>
  </si>
  <si>
    <t>Srmo10</t>
  </si>
  <si>
    <t>123456</t>
  </si>
  <si>
    <r>
      <t xml:space="preserve">PLACE OF SUPPLY             </t>
    </r>
    <r>
      <rPr>
        <b/>
        <sz val="10"/>
        <color theme="1"/>
        <rFont val="Calibri"/>
        <family val="2"/>
        <scheme val="minor"/>
      </rPr>
      <t>:</t>
    </r>
  </si>
  <si>
    <r>
      <t xml:space="preserve">PURCHASE ORDER NO.   </t>
    </r>
    <r>
      <rPr>
        <b/>
        <sz val="10"/>
        <color theme="1"/>
        <rFont val="Calibri"/>
        <family val="2"/>
        <scheme val="minor"/>
      </rPr>
      <t>:</t>
    </r>
  </si>
  <si>
    <t>1123</t>
  </si>
  <si>
    <t>awwsd223112</t>
  </si>
  <si>
    <t>Rajlakshmi Traders</t>
  </si>
  <si>
    <t>114, C BLock Bhumi world, Bhiwandi</t>
  </si>
  <si>
    <t>112</t>
  </si>
  <si>
    <t>material</t>
  </si>
  <si>
    <t>Mathura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</si>
</sst>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h:mm\ AM/PM;@"/>
    <numFmt numFmtId="165" formatCode="[$रु-439]\ #,##0.00"/>
    <numFmt numFmtId="166" formatCode="&quot;Contact No.&quot;* ##########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Tahoma"/>
      <family val="2"/>
    </font>
    <font>
      <sz val="10"/>
      <color theme="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.3000000000000007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0"/>
      <color theme="1"/>
      <name val="Tahoma"/>
      <family val="2"/>
    </font>
    <font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quotePrefix="1"/>
    <xf numFmtId="14" fontId="0" fillId="0" borderId="0" xfId="0" applyNumberFormat="1"/>
    <xf numFmtId="164" fontId="0" fillId="0" borderId="0" xfId="0" applyNumberFormat="1"/>
    <xf numFmtId="0" fontId="0" fillId="0" borderId="0" xfId="0" applyFill="1" applyProtection="1"/>
    <xf numFmtId="0" fontId="0" fillId="0" borderId="0" xfId="0" applyFill="1" applyAlignment="1" applyProtection="1">
      <alignment vertical="top"/>
    </xf>
    <xf numFmtId="0" fontId="0" fillId="0" borderId="0" xfId="0" applyFill="1" applyAlignment="1" applyProtection="1">
      <alignment horizontal="left" vertical="top"/>
    </xf>
    <xf numFmtId="0" fontId="0" fillId="0" borderId="0" xfId="0" applyFill="1" applyAlignment="1" applyProtection="1">
      <alignment horizontal="left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2" fillId="0" borderId="0" xfId="0" applyNumberFormat="1" applyFont="1" applyFill="1" applyAlignment="1" applyProtection="1">
      <alignment wrapText="1"/>
    </xf>
    <xf numFmtId="0" fontId="5" fillId="0" borderId="0" xfId="0" applyFont="1" applyFill="1" applyProtection="1"/>
    <xf numFmtId="9" fontId="11" fillId="0" borderId="0" xfId="0" applyNumberFormat="1" applyFont="1" applyFill="1" applyProtection="1"/>
    <xf numFmtId="9" fontId="1" fillId="0" borderId="0" xfId="0" applyNumberFormat="1" applyFont="1" applyFill="1" applyProtection="1"/>
    <xf numFmtId="0" fontId="8" fillId="0" borderId="0" xfId="0" applyFont="1" applyFill="1" applyAlignment="1" applyProtection="1">
      <alignment horizontal="left" vertical="center" wrapText="1"/>
    </xf>
    <xf numFmtId="0" fontId="7" fillId="0" borderId="0" xfId="0" applyFont="1" applyFill="1" applyProtection="1"/>
    <xf numFmtId="0" fontId="5" fillId="0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left" vertical="center"/>
    </xf>
    <xf numFmtId="0" fontId="6" fillId="0" borderId="1" xfId="0" applyFont="1" applyFill="1" applyBorder="1" applyAlignment="1" applyProtection="1">
      <alignment horizontal="center"/>
    </xf>
    <xf numFmtId="49" fontId="0" fillId="0" borderId="1" xfId="0" applyNumberFormat="1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 wrapText="1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/>
    </xf>
    <xf numFmtId="0" fontId="0" fillId="0" borderId="1" xfId="0" applyFill="1" applyBorder="1" applyProtection="1"/>
    <xf numFmtId="0" fontId="5" fillId="0" borderId="2" xfId="0" applyFont="1" applyFill="1" applyBorder="1" applyProtection="1"/>
    <xf numFmtId="0" fontId="5" fillId="0" borderId="2" xfId="0" applyFont="1" applyFill="1" applyBorder="1" applyAlignment="1" applyProtection="1">
      <alignment horizontal="center" vertical="center"/>
    </xf>
    <xf numFmtId="0" fontId="7" fillId="0" borderId="2" xfId="0" applyFont="1" applyFill="1" applyBorder="1" applyProtection="1"/>
    <xf numFmtId="0" fontId="1" fillId="0" borderId="0" xfId="0" applyFont="1" applyFill="1" applyAlignment="1" applyProtection="1"/>
    <xf numFmtId="0" fontId="5" fillId="0" borderId="1" xfId="0" applyFont="1" applyFill="1" applyBorder="1" applyProtection="1"/>
    <xf numFmtId="49" fontId="0" fillId="0" borderId="7" xfId="0" applyNumberFormat="1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/>
    </xf>
    <xf numFmtId="0" fontId="0" fillId="0" borderId="7" xfId="0" applyFill="1" applyBorder="1" applyProtection="1"/>
    <xf numFmtId="0" fontId="5" fillId="0" borderId="8" xfId="0" applyFont="1" applyFill="1" applyBorder="1" applyAlignment="1" applyProtection="1">
      <alignment horizontal="center" vertical="center" wrapText="1"/>
    </xf>
    <xf numFmtId="0" fontId="5" fillId="0" borderId="4" xfId="0" applyFont="1" applyFill="1" applyBorder="1" applyAlignment="1" applyProtection="1">
      <alignment horizontal="center" vertical="center" wrapText="1"/>
    </xf>
    <xf numFmtId="49" fontId="0" fillId="0" borderId="4" xfId="0" applyNumberFormat="1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4" xfId="0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right"/>
    </xf>
    <xf numFmtId="0" fontId="5" fillId="0" borderId="1" xfId="0" applyFont="1" applyFill="1" applyBorder="1" applyAlignment="1" applyProtection="1">
      <alignment horizontal="center"/>
    </xf>
    <xf numFmtId="49" fontId="0" fillId="0" borderId="7" xfId="0" applyNumberForma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left"/>
    </xf>
    <xf numFmtId="0" fontId="1" fillId="0" borderId="1" xfId="0" applyFont="1" applyFill="1" applyBorder="1" applyAlignment="1" applyProtection="1">
      <alignment horizontal="left"/>
    </xf>
    <xf numFmtId="49" fontId="9" fillId="0" borderId="1" xfId="0" applyNumberFormat="1" applyFont="1" applyFill="1" applyBorder="1" applyAlignment="1" applyProtection="1">
      <alignment horizontal="left"/>
    </xf>
    <xf numFmtId="0" fontId="3" fillId="0" borderId="0" xfId="0" applyFont="1" applyFill="1" applyAlignment="1" applyProtection="1">
      <alignment horizontal="center"/>
    </xf>
    <xf numFmtId="0" fontId="4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left"/>
    </xf>
    <xf numFmtId="0" fontId="15" fillId="0" borderId="0" xfId="0" applyFont="1" applyFill="1" applyAlignment="1" applyProtection="1">
      <alignment horizontal="left"/>
    </xf>
    <xf numFmtId="0" fontId="1" fillId="0" borderId="0" xfId="0" applyFont="1" applyFill="1" applyBorder="1" applyAlignment="1" applyProtection="1">
      <alignment horizontal="left" vertical="center" wrapText="1"/>
    </xf>
    <xf numFmtId="0" fontId="1" fillId="0" borderId="1" xfId="0" applyFont="1" applyFill="1" applyBorder="1" applyAlignment="1" applyProtection="1">
      <alignment horizontal="left" vertical="center" wrapText="1"/>
    </xf>
    <xf numFmtId="0" fontId="5" fillId="0" borderId="2" xfId="0" applyFont="1" applyFill="1" applyBorder="1" applyAlignment="1" applyProtection="1">
      <alignment horizontal="left" vertical="center"/>
    </xf>
    <xf numFmtId="165" fontId="12" fillId="0" borderId="2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left"/>
    </xf>
    <xf numFmtId="14" fontId="0" fillId="0" borderId="2" xfId="0" applyNumberFormat="1" applyFill="1" applyBorder="1" applyAlignment="1" applyProtection="1">
      <alignment horizontal="left"/>
    </xf>
    <xf numFmtId="0" fontId="0" fillId="0" borderId="2" xfId="0" applyFill="1" applyBorder="1" applyAlignment="1" applyProtection="1">
      <alignment horizontal="left"/>
    </xf>
    <xf numFmtId="0" fontId="7" fillId="0" borderId="2" xfId="0" applyFont="1" applyFill="1" applyBorder="1" applyAlignment="1" applyProtection="1">
      <alignment horizontal="left"/>
    </xf>
    <xf numFmtId="49" fontId="0" fillId="0" borderId="2" xfId="0" applyNumberFormat="1" applyFill="1" applyBorder="1" applyAlignment="1" applyProtection="1">
      <alignment horizontal="left"/>
    </xf>
    <xf numFmtId="49" fontId="1" fillId="0" borderId="1" xfId="0" applyNumberFormat="1" applyFont="1" applyFill="1" applyBorder="1" applyAlignment="1" applyProtection="1">
      <alignment horizontal="left"/>
    </xf>
    <xf numFmtId="49" fontId="16" fillId="0" borderId="0" xfId="0" applyNumberFormat="1" applyFont="1" applyFill="1" applyAlignment="1" applyProtection="1">
      <alignment horizontal="left" vertical="top" wrapText="1"/>
    </xf>
    <xf numFmtId="166" fontId="0" fillId="0" borderId="1" xfId="0" applyNumberFormat="1" applyFill="1" applyBorder="1" applyAlignment="1" applyProtection="1">
      <alignment horizontal="left"/>
    </xf>
    <xf numFmtId="0" fontId="6" fillId="0" borderId="1" xfId="0" applyFont="1" applyFill="1" applyBorder="1" applyAlignment="1" applyProtection="1">
      <alignment horizontal="left"/>
    </xf>
    <xf numFmtId="14" fontId="6" fillId="0" borderId="1" xfId="0" applyNumberFormat="1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right"/>
    </xf>
    <xf numFmtId="0" fontId="0" fillId="0" borderId="6" xfId="0" applyFill="1" applyBorder="1" applyAlignment="1" applyProtection="1">
      <alignment horizontal="right"/>
    </xf>
    <xf numFmtId="49" fontId="0" fillId="0" borderId="7" xfId="0" applyNumberFormat="1" applyFill="1" applyBorder="1" applyAlignment="1" applyProtection="1">
      <alignment horizontal="left" vertical="center"/>
    </xf>
    <xf numFmtId="49" fontId="0" fillId="0" borderId="0" xfId="0" applyNumberFormat="1" applyFill="1" applyBorder="1" applyAlignment="1" applyProtection="1">
      <alignment horizontal="left" vertical="center"/>
    </xf>
    <xf numFmtId="49" fontId="0" fillId="0" borderId="7" xfId="0" applyNumberForma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0" borderId="4" xfId="0" applyFont="1" applyFill="1" applyBorder="1" applyAlignment="1" applyProtection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</xf>
    <xf numFmtId="0" fontId="5" fillId="0" borderId="8" xfId="0" applyFont="1" applyFill="1" applyBorder="1" applyAlignment="1" applyProtection="1">
      <alignment horizontal="center" vertical="center" wrapText="1"/>
    </xf>
    <xf numFmtId="49" fontId="0" fillId="0" borderId="5" xfId="0" applyNumberFormat="1" applyFill="1" applyBorder="1" applyAlignment="1" applyProtection="1">
      <alignment horizontal="left" vertical="center"/>
    </xf>
    <xf numFmtId="49" fontId="0" fillId="0" borderId="3" xfId="0" applyNumberFormat="1" applyFill="1" applyBorder="1" applyAlignment="1" applyProtection="1">
      <alignment horizontal="left" vertical="center"/>
    </xf>
    <xf numFmtId="49" fontId="0" fillId="0" borderId="4" xfId="0" applyNumberFormat="1" applyFill="1" applyBorder="1" applyAlignment="1" applyProtection="1">
      <alignment horizontal="left" vertical="center"/>
    </xf>
    <xf numFmtId="49" fontId="0" fillId="0" borderId="1" xfId="0" applyNumberFormat="1" applyFill="1" applyBorder="1" applyAlignment="1" applyProtection="1">
      <alignment horizontal="left" vertical="center"/>
    </xf>
    <xf numFmtId="49" fontId="0" fillId="0" borderId="4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right"/>
    </xf>
    <xf numFmtId="0" fontId="0" fillId="0" borderId="8" xfId="0" applyFill="1" applyBorder="1" applyAlignment="1" applyProtection="1">
      <alignment horizontal="right"/>
    </xf>
    <xf numFmtId="0" fontId="8" fillId="0" borderId="3" xfId="0" applyFont="1" applyFill="1" applyBorder="1" applyAlignment="1" applyProtection="1">
      <alignment horizontal="left" wrapText="1"/>
    </xf>
    <xf numFmtId="0" fontId="8" fillId="0" borderId="0" xfId="0" applyFont="1" applyFill="1" applyBorder="1" applyAlignment="1" applyProtection="1">
      <alignment horizontal="left" wrapText="1"/>
    </xf>
    <xf numFmtId="0" fontId="8" fillId="0" borderId="1" xfId="0" applyFont="1" applyFill="1" applyBorder="1" applyAlignment="1" applyProtection="1">
      <alignment horizontal="left" wrapText="1"/>
    </xf>
    <xf numFmtId="165" fontId="0" fillId="0" borderId="1" xfId="0" applyNumberFormat="1" applyFill="1" applyBorder="1" applyAlignment="1" applyProtection="1">
      <alignment horizontal="right"/>
    </xf>
    <xf numFmtId="165" fontId="0" fillId="0" borderId="2" xfId="0" applyNumberFormat="1" applyFill="1" applyBorder="1" applyAlignment="1" applyProtection="1">
      <alignment horizontal="right"/>
    </xf>
    <xf numFmtId="49" fontId="12" fillId="0" borderId="0" xfId="0" applyNumberFormat="1" applyFont="1" applyFill="1" applyAlignment="1" applyProtection="1">
      <alignment horizontal="left"/>
    </xf>
    <xf numFmtId="0" fontId="14" fillId="0" borderId="0" xfId="0" applyFont="1" applyFill="1" applyBorder="1" applyAlignment="1" applyProtection="1">
      <alignment horizontal="left" vertical="top" wrapText="1"/>
    </xf>
    <xf numFmtId="0" fontId="5" fillId="0" borderId="0" xfId="0" applyFont="1" applyFill="1" applyAlignment="1" applyProtection="1">
      <alignment horizontal="left"/>
    </xf>
    <xf numFmtId="0" fontId="7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0</xdr:row>
      <xdr:rowOff>31750</xdr:rowOff>
    </xdr:from>
    <xdr:to>
      <xdr:col>13</xdr:col>
      <xdr:colOff>371475</xdr:colOff>
      <xdr:row>3</xdr:row>
      <xdr:rowOff>16933</xdr:rowOff>
    </xdr:to>
    <xdr:sp macro="[0]!Oval1_Click" textlink="">
      <xdr:nvSpPr>
        <xdr:cNvPr id="2" name="Oval 1"/>
        <xdr:cNvSpPr/>
      </xdr:nvSpPr>
      <xdr:spPr>
        <a:xfrm>
          <a:off x="5080000" y="31750"/>
          <a:ext cx="1313392" cy="609600"/>
        </a:xfrm>
        <a:prstGeom prst="ellipse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Create Invoice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49</xdr:row>
          <xdr:rowOff>0</xdr:rowOff>
        </xdr:from>
        <xdr:to>
          <xdr:col>6</xdr:col>
          <xdr:colOff>161925</xdr:colOff>
          <xdr:row>50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48</xdr:row>
          <xdr:rowOff>171450</xdr:rowOff>
        </xdr:from>
        <xdr:to>
          <xdr:col>8</xdr:col>
          <xdr:colOff>238125</xdr:colOff>
          <xdr:row>50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1"/>
  <sheetViews>
    <sheetView tabSelected="1" zoomScale="70" zoomScaleNormal="70" zoomScalePageLayoutView="55" workbookViewId="0">
      <selection sqref="A1:N1"/>
    </sheetView>
  </sheetViews>
  <sheetFormatPr defaultColWidth="0" defaultRowHeight="15" zeroHeight="1" x14ac:dyDescent="0.25"/>
  <cols>
    <col min="1" max="1" width="5.75" style="4" bestFit="1" customWidth="1"/>
    <col min="2" max="2" width="9.125" style="4" customWidth="1"/>
    <col min="3" max="3" width="1.375" style="4" bestFit="1" customWidth="1"/>
    <col min="4" max="4" width="9.125" style="4" customWidth="1"/>
    <col min="5" max="5" width="1.625" style="4" bestFit="1" customWidth="1"/>
    <col min="6" max="6" width="12.875" style="4" customWidth="1"/>
    <col min="7" max="7" width="9.875" style="4" customWidth="1"/>
    <col min="8" max="8" width="8.625" style="4" customWidth="1"/>
    <col min="9" max="9" width="9" style="4" customWidth="1"/>
    <col min="10" max="10" width="1.625" style="4" bestFit="1" customWidth="1"/>
    <col min="11" max="11" width="12.25" style="4" customWidth="1"/>
    <col min="12" max="12" width="1.625" style="4" bestFit="1" customWidth="1"/>
    <col min="13" max="13" width="8.375" style="4" bestFit="1" customWidth="1"/>
    <col min="14" max="14" width="8.375" style="4" customWidth="1"/>
    <col min="15" max="15" width="2" style="4" hidden="1"/>
    <col min="16" max="16" width="2.75" style="4" hidden="1"/>
    <col min="17" max="16384" width="9.125" style="4" hidden="1"/>
  </cols>
  <sheetData>
    <row r="1" spans="1:14" ht="19.5" x14ac:dyDescent="0.25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</row>
    <row r="2" spans="1:14" x14ac:dyDescent="0.25">
      <c r="A2" s="47" t="s">
        <v>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</row>
    <row r="3" spans="1:14" x14ac:dyDescent="0.25">
      <c r="A3" s="48"/>
      <c r="B3" s="48"/>
    </row>
    <row r="4" spans="1:14" x14ac:dyDescent="0.25">
      <c r="A4" s="7"/>
      <c r="B4" s="7"/>
    </row>
    <row r="5" spans="1:14" x14ac:dyDescent="0.25">
      <c r="A5" s="7"/>
      <c r="B5" s="7"/>
    </row>
    <row r="6" spans="1:14" x14ac:dyDescent="0.25">
      <c r="A6" s="7"/>
      <c r="B6" s="7"/>
    </row>
    <row r="7" spans="1:14" x14ac:dyDescent="0.25">
      <c r="A7" s="49" t="s">
        <v>2</v>
      </c>
      <c r="B7" s="49"/>
      <c r="C7" s="49"/>
      <c r="D7" s="49"/>
      <c r="E7" s="49"/>
      <c r="F7" s="49"/>
    </row>
    <row r="8" spans="1:14" x14ac:dyDescent="0.25">
      <c r="A8" s="48"/>
      <c r="B8" s="48"/>
    </row>
    <row r="9" spans="1:14" ht="15.75" x14ac:dyDescent="0.25">
      <c r="A9" s="43" t="s">
        <v>3</v>
      </c>
      <c r="B9" s="43"/>
      <c r="C9" s="16" t="s">
        <v>4</v>
      </c>
      <c r="D9" s="44" t="s">
        <v>5</v>
      </c>
      <c r="E9" s="44"/>
      <c r="F9" s="44"/>
      <c r="J9" s="43" t="s">
        <v>6</v>
      </c>
      <c r="K9" s="43"/>
      <c r="L9" s="18" t="s">
        <v>4</v>
      </c>
      <c r="M9" s="45" t="s">
        <v>417</v>
      </c>
      <c r="N9" s="45"/>
    </row>
    <row r="10" spans="1:14" ht="21" customHeight="1" x14ac:dyDescent="0.25">
      <c r="A10" s="50" t="s">
        <v>26</v>
      </c>
      <c r="B10" s="50"/>
      <c r="C10" s="50"/>
      <c r="D10" s="50"/>
      <c r="E10" s="50"/>
      <c r="F10" s="50"/>
      <c r="J10" s="52" t="s">
        <v>7</v>
      </c>
      <c r="K10" s="52"/>
      <c r="L10" s="19" t="s">
        <v>4</v>
      </c>
      <c r="M10" s="53">
        <f>M39</f>
        <v>5753.0400000000009</v>
      </c>
      <c r="N10" s="53"/>
    </row>
    <row r="11" spans="1:14" x14ac:dyDescent="0.25">
      <c r="A11" s="50"/>
      <c r="B11" s="50"/>
      <c r="C11" s="50"/>
      <c r="D11" s="50"/>
      <c r="E11" s="50"/>
      <c r="F11" s="50"/>
      <c r="J11" s="54" t="s">
        <v>8</v>
      </c>
      <c r="K11" s="54"/>
      <c r="L11" s="19" t="s">
        <v>4</v>
      </c>
      <c r="M11" s="55">
        <v>43584</v>
      </c>
      <c r="N11" s="56"/>
    </row>
    <row r="12" spans="1:14" x14ac:dyDescent="0.25">
      <c r="A12" s="50"/>
      <c r="B12" s="50"/>
      <c r="C12" s="50"/>
      <c r="D12" s="50"/>
      <c r="E12" s="50"/>
      <c r="F12" s="50"/>
      <c r="J12" s="57" t="s">
        <v>28</v>
      </c>
      <c r="K12" s="57"/>
      <c r="L12" s="19" t="s">
        <v>4</v>
      </c>
      <c r="M12" s="58" t="s">
        <v>399</v>
      </c>
      <c r="N12" s="58"/>
    </row>
    <row r="13" spans="1:14" x14ac:dyDescent="0.25">
      <c r="A13" s="51"/>
      <c r="B13" s="51"/>
      <c r="C13" s="51"/>
      <c r="D13" s="51"/>
      <c r="E13" s="51"/>
      <c r="F13" s="51"/>
    </row>
    <row r="14" spans="1:14" x14ac:dyDescent="0.25">
      <c r="A14" s="48"/>
      <c r="B14" s="48"/>
    </row>
    <row r="15" spans="1:14" x14ac:dyDescent="0.25">
      <c r="A15" s="49" t="s">
        <v>9</v>
      </c>
      <c r="B15" s="49"/>
      <c r="C15" s="49"/>
      <c r="D15" s="49"/>
      <c r="E15" s="49"/>
      <c r="F15" s="49"/>
      <c r="I15" s="49" t="s">
        <v>10</v>
      </c>
      <c r="J15" s="49"/>
      <c r="K15" s="49"/>
      <c r="L15" s="49"/>
      <c r="M15" s="49"/>
      <c r="N15" s="49"/>
    </row>
    <row r="16" spans="1:14" ht="27.75" customHeight="1" x14ac:dyDescent="0.25">
      <c r="A16" s="43" t="s">
        <v>3</v>
      </c>
      <c r="B16" s="43"/>
      <c r="C16" s="41" t="s">
        <v>4</v>
      </c>
      <c r="D16" s="59" t="s">
        <v>418</v>
      </c>
      <c r="E16" s="59"/>
      <c r="F16" s="59"/>
      <c r="I16" s="17" t="s">
        <v>3</v>
      </c>
      <c r="J16" s="20" t="s">
        <v>4</v>
      </c>
      <c r="K16" s="59" t="s">
        <v>418</v>
      </c>
      <c r="L16" s="59"/>
      <c r="M16" s="59"/>
      <c r="N16" s="59"/>
    </row>
    <row r="17" spans="1:15" ht="18.75" x14ac:dyDescent="0.3">
      <c r="A17" s="89" t="s">
        <v>419</v>
      </c>
      <c r="B17" s="89"/>
      <c r="C17" s="89"/>
      <c r="D17" s="89"/>
      <c r="E17" s="89"/>
      <c r="F17" s="89"/>
      <c r="I17" s="89" t="s">
        <v>422</v>
      </c>
      <c r="J17" s="89"/>
      <c r="K17" s="89"/>
      <c r="L17" s="89"/>
      <c r="M17" s="89"/>
      <c r="N17" s="89"/>
    </row>
    <row r="18" spans="1:15" ht="39.75" customHeight="1" x14ac:dyDescent="0.25">
      <c r="A18" s="60" t="s">
        <v>420</v>
      </c>
      <c r="B18" s="60"/>
      <c r="C18" s="60"/>
      <c r="D18" s="60"/>
      <c r="E18" s="60"/>
      <c r="F18" s="60"/>
      <c r="I18" s="60" t="s">
        <v>423</v>
      </c>
      <c r="J18" s="60"/>
      <c r="K18" s="60"/>
      <c r="L18" s="60"/>
      <c r="M18" s="60"/>
      <c r="N18" s="60"/>
    </row>
    <row r="19" spans="1:15" x14ac:dyDescent="0.25">
      <c r="A19" s="61">
        <v>9009229182</v>
      </c>
      <c r="B19" s="61"/>
      <c r="C19" s="61"/>
      <c r="D19" s="61"/>
      <c r="E19" s="61"/>
      <c r="F19" s="61"/>
      <c r="I19" s="61">
        <v>9898228839</v>
      </c>
      <c r="J19" s="61"/>
      <c r="K19" s="61"/>
      <c r="L19" s="61"/>
      <c r="M19" s="61"/>
      <c r="N19" s="61"/>
    </row>
    <row r="20" spans="1:15" x14ac:dyDescent="0.25">
      <c r="A20" s="62" t="s">
        <v>415</v>
      </c>
      <c r="B20" s="62"/>
      <c r="C20" s="62"/>
      <c r="D20" s="62"/>
      <c r="E20" s="62"/>
      <c r="F20" s="21" t="s">
        <v>372</v>
      </c>
      <c r="I20" s="62" t="s">
        <v>11</v>
      </c>
      <c r="J20" s="62"/>
      <c r="K20" s="62"/>
      <c r="L20" s="16" t="s">
        <v>4</v>
      </c>
      <c r="M20" s="63">
        <v>43584</v>
      </c>
      <c r="N20" s="64"/>
    </row>
    <row r="21" spans="1:15" x14ac:dyDescent="0.25">
      <c r="A21" s="62" t="s">
        <v>416</v>
      </c>
      <c r="B21" s="62"/>
      <c r="C21" s="62"/>
      <c r="D21" s="62"/>
      <c r="E21" s="62"/>
      <c r="F21" s="21" t="s">
        <v>421</v>
      </c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</row>
    <row r="23" spans="1:15" ht="25.5" customHeight="1" x14ac:dyDescent="0.25">
      <c r="A23" s="34" t="s">
        <v>12</v>
      </c>
      <c r="B23" s="71" t="s">
        <v>13</v>
      </c>
      <c r="C23" s="72"/>
      <c r="D23" s="72"/>
      <c r="E23" s="72"/>
      <c r="F23" s="72"/>
      <c r="G23" s="35" t="s">
        <v>14</v>
      </c>
      <c r="H23" s="35" t="s">
        <v>15</v>
      </c>
      <c r="I23" s="73" t="s">
        <v>16</v>
      </c>
      <c r="J23" s="74"/>
      <c r="K23" s="35" t="s">
        <v>17</v>
      </c>
      <c r="L23" s="73" t="s">
        <v>18</v>
      </c>
      <c r="M23" s="75"/>
      <c r="N23" s="22" t="s">
        <v>392</v>
      </c>
    </row>
    <row r="24" spans="1:15" x14ac:dyDescent="0.25">
      <c r="A24" s="8">
        <v>1</v>
      </c>
      <c r="B24" s="76" t="s">
        <v>377</v>
      </c>
      <c r="C24" s="77"/>
      <c r="D24" s="77"/>
      <c r="E24" s="77"/>
      <c r="F24" s="77"/>
      <c r="G24" s="42" t="s">
        <v>414</v>
      </c>
      <c r="H24" s="32">
        <v>40</v>
      </c>
      <c r="I24" s="69" t="s">
        <v>382</v>
      </c>
      <c r="J24" s="70"/>
      <c r="K24" s="33">
        <v>73</v>
      </c>
      <c r="L24" s="65">
        <f>IF(H24*K24=0,"",H24*K24)</f>
        <v>2920</v>
      </c>
      <c r="M24" s="66"/>
      <c r="N24" s="9">
        <v>18</v>
      </c>
      <c r="O24" s="10">
        <f>IFERROR((L24/100*N24),"")</f>
        <v>525.6</v>
      </c>
    </row>
    <row r="25" spans="1:15" x14ac:dyDescent="0.25">
      <c r="A25" s="8">
        <v>2</v>
      </c>
      <c r="B25" s="67" t="s">
        <v>376</v>
      </c>
      <c r="C25" s="68"/>
      <c r="D25" s="68"/>
      <c r="E25" s="68"/>
      <c r="F25" s="68"/>
      <c r="G25" s="42" t="s">
        <v>414</v>
      </c>
      <c r="H25" s="32">
        <v>12</v>
      </c>
      <c r="I25" s="69" t="s">
        <v>388</v>
      </c>
      <c r="J25" s="70"/>
      <c r="K25" s="33">
        <v>34</v>
      </c>
      <c r="L25" s="65">
        <f t="shared" ref="L25:L33" si="0">IF(H25*K25=0,"",H25*K25)</f>
        <v>408</v>
      </c>
      <c r="M25" s="66"/>
      <c r="N25" s="9">
        <v>18</v>
      </c>
      <c r="O25" s="10">
        <f t="shared" ref="O25:O33" si="1">IFERROR((L25/100*N25),"")</f>
        <v>73.44</v>
      </c>
    </row>
    <row r="26" spans="1:15" x14ac:dyDescent="0.25">
      <c r="A26" s="8">
        <v>3</v>
      </c>
      <c r="B26" s="67" t="s">
        <v>378</v>
      </c>
      <c r="C26" s="68"/>
      <c r="D26" s="68"/>
      <c r="E26" s="68"/>
      <c r="F26" s="68"/>
      <c r="G26" s="42" t="s">
        <v>414</v>
      </c>
      <c r="H26" s="32">
        <v>14</v>
      </c>
      <c r="I26" s="69" t="s">
        <v>385</v>
      </c>
      <c r="J26" s="70"/>
      <c r="K26" s="33">
        <v>50</v>
      </c>
      <c r="L26" s="65">
        <f t="shared" si="0"/>
        <v>700</v>
      </c>
      <c r="M26" s="66"/>
      <c r="N26" s="9">
        <v>18</v>
      </c>
      <c r="O26" s="10">
        <f t="shared" si="1"/>
        <v>126</v>
      </c>
    </row>
    <row r="27" spans="1:15" x14ac:dyDescent="0.25">
      <c r="A27" s="8"/>
      <c r="B27" s="67"/>
      <c r="C27" s="68"/>
      <c r="D27" s="68"/>
      <c r="E27" s="68"/>
      <c r="F27" s="68"/>
      <c r="G27" s="31"/>
      <c r="H27" s="32"/>
      <c r="I27" s="69"/>
      <c r="J27" s="70"/>
      <c r="K27" s="33"/>
      <c r="L27" s="65" t="str">
        <f t="shared" si="0"/>
        <v/>
      </c>
      <c r="M27" s="66"/>
      <c r="N27" s="9"/>
      <c r="O27" s="10" t="str">
        <f t="shared" si="1"/>
        <v/>
      </c>
    </row>
    <row r="28" spans="1:15" x14ac:dyDescent="0.25">
      <c r="A28" s="8"/>
      <c r="B28" s="67"/>
      <c r="C28" s="68"/>
      <c r="D28" s="68"/>
      <c r="E28" s="68"/>
      <c r="F28" s="68"/>
      <c r="G28" s="31"/>
      <c r="H28" s="32"/>
      <c r="I28" s="69"/>
      <c r="J28" s="70"/>
      <c r="K28" s="33"/>
      <c r="L28" s="65" t="str">
        <f t="shared" si="0"/>
        <v/>
      </c>
      <c r="M28" s="66"/>
      <c r="N28" s="9"/>
      <c r="O28" s="10" t="str">
        <f t="shared" si="1"/>
        <v/>
      </c>
    </row>
    <row r="29" spans="1:15" x14ac:dyDescent="0.25">
      <c r="A29" s="8"/>
      <c r="B29" s="67"/>
      <c r="C29" s="68"/>
      <c r="D29" s="68"/>
      <c r="E29" s="68"/>
      <c r="F29" s="68"/>
      <c r="G29" s="31"/>
      <c r="H29" s="32"/>
      <c r="I29" s="69"/>
      <c r="J29" s="70"/>
      <c r="K29" s="33"/>
      <c r="L29" s="65" t="str">
        <f t="shared" si="0"/>
        <v/>
      </c>
      <c r="M29" s="66"/>
      <c r="N29" s="9"/>
      <c r="O29" s="10" t="str">
        <f t="shared" si="1"/>
        <v/>
      </c>
    </row>
    <row r="30" spans="1:15" x14ac:dyDescent="0.25">
      <c r="A30" s="8"/>
      <c r="B30" s="67"/>
      <c r="C30" s="68"/>
      <c r="D30" s="68"/>
      <c r="E30" s="68"/>
      <c r="F30" s="68"/>
      <c r="G30" s="31"/>
      <c r="H30" s="32"/>
      <c r="I30" s="69"/>
      <c r="J30" s="70"/>
      <c r="K30" s="33"/>
      <c r="L30" s="65" t="str">
        <f t="shared" si="0"/>
        <v/>
      </c>
      <c r="M30" s="66"/>
      <c r="N30" s="9"/>
      <c r="O30" s="10" t="str">
        <f t="shared" si="1"/>
        <v/>
      </c>
    </row>
    <row r="31" spans="1:15" x14ac:dyDescent="0.25">
      <c r="A31" s="8"/>
      <c r="B31" s="67"/>
      <c r="C31" s="68"/>
      <c r="D31" s="68"/>
      <c r="E31" s="68"/>
      <c r="F31" s="68"/>
      <c r="G31" s="31"/>
      <c r="H31" s="32"/>
      <c r="I31" s="69"/>
      <c r="J31" s="70"/>
      <c r="K31" s="33"/>
      <c r="L31" s="65" t="str">
        <f t="shared" si="0"/>
        <v/>
      </c>
      <c r="M31" s="66"/>
      <c r="N31" s="9"/>
      <c r="O31" s="10" t="str">
        <f t="shared" si="1"/>
        <v/>
      </c>
    </row>
    <row r="32" spans="1:15" x14ac:dyDescent="0.25">
      <c r="A32" s="8"/>
      <c r="B32" s="67"/>
      <c r="C32" s="68"/>
      <c r="D32" s="68"/>
      <c r="E32" s="68"/>
      <c r="F32" s="68"/>
      <c r="G32" s="31"/>
      <c r="H32" s="32"/>
      <c r="I32" s="69"/>
      <c r="J32" s="70"/>
      <c r="K32" s="33"/>
      <c r="L32" s="65" t="str">
        <f t="shared" si="0"/>
        <v/>
      </c>
      <c r="M32" s="66"/>
      <c r="N32" s="9"/>
      <c r="O32" s="10" t="str">
        <f t="shared" si="1"/>
        <v/>
      </c>
    </row>
    <row r="33" spans="1:15" x14ac:dyDescent="0.25">
      <c r="A33" s="23"/>
      <c r="B33" s="78"/>
      <c r="C33" s="79"/>
      <c r="D33" s="79"/>
      <c r="E33" s="79"/>
      <c r="F33" s="79"/>
      <c r="G33" s="36"/>
      <c r="H33" s="37"/>
      <c r="I33" s="80"/>
      <c r="J33" s="81"/>
      <c r="K33" s="38"/>
      <c r="L33" s="82" t="str">
        <f t="shared" si="0"/>
        <v/>
      </c>
      <c r="M33" s="83"/>
      <c r="N33" s="24"/>
      <c r="O33" s="10" t="str">
        <f t="shared" si="1"/>
        <v/>
      </c>
    </row>
    <row r="34" spans="1:15" ht="18" customHeight="1" x14ac:dyDescent="0.25">
      <c r="A34" s="84" t="s">
        <v>27</v>
      </c>
      <c r="B34" s="84"/>
      <c r="C34" s="84"/>
      <c r="D34" s="84"/>
      <c r="E34" s="84"/>
      <c r="F34" s="84"/>
      <c r="G34" s="84"/>
      <c r="H34" s="84"/>
      <c r="I34" s="84"/>
      <c r="K34" s="30" t="s">
        <v>19</v>
      </c>
      <c r="L34" s="16" t="s">
        <v>4</v>
      </c>
      <c r="M34" s="87">
        <f>SUBTOTAL(9,L24:M33)</f>
        <v>4028</v>
      </c>
      <c r="N34" s="87"/>
      <c r="O34" s="10">
        <f>SUBTOTAL(9,O24:O33)</f>
        <v>725.04</v>
      </c>
    </row>
    <row r="35" spans="1:15" ht="18" customHeight="1" x14ac:dyDescent="0.25">
      <c r="A35" s="85"/>
      <c r="B35" s="85"/>
      <c r="C35" s="85"/>
      <c r="D35" s="85"/>
      <c r="E35" s="85"/>
      <c r="F35" s="85"/>
      <c r="G35" s="85"/>
      <c r="H35" s="85"/>
      <c r="I35" s="85"/>
      <c r="K35" s="26" t="s">
        <v>403</v>
      </c>
      <c r="L35" s="27" t="s">
        <v>4</v>
      </c>
      <c r="M35" s="88">
        <v>0</v>
      </c>
      <c r="N35" s="88"/>
    </row>
    <row r="36" spans="1:15" ht="18" customHeight="1" x14ac:dyDescent="0.25">
      <c r="A36" s="85"/>
      <c r="B36" s="85"/>
      <c r="C36" s="85"/>
      <c r="D36" s="85"/>
      <c r="E36" s="85"/>
      <c r="F36" s="85"/>
      <c r="G36" s="85"/>
      <c r="H36" s="85"/>
      <c r="I36" s="85"/>
      <c r="J36" s="12"/>
      <c r="K36" s="26" t="s">
        <v>390</v>
      </c>
      <c r="L36" s="27" t="s">
        <v>4</v>
      </c>
      <c r="M36" s="88">
        <f>O34/2</f>
        <v>362.52</v>
      </c>
      <c r="N36" s="88"/>
    </row>
    <row r="37" spans="1:15" ht="18" customHeight="1" x14ac:dyDescent="0.25">
      <c r="A37" s="86"/>
      <c r="B37" s="86"/>
      <c r="C37" s="86"/>
      <c r="D37" s="86"/>
      <c r="E37" s="86"/>
      <c r="F37" s="86"/>
      <c r="G37" s="86"/>
      <c r="H37" s="86"/>
      <c r="I37" s="86"/>
      <c r="J37" s="13"/>
      <c r="K37" s="26" t="s">
        <v>391</v>
      </c>
      <c r="L37" s="27" t="s">
        <v>4</v>
      </c>
      <c r="M37" s="88">
        <f>M36</f>
        <v>362.52</v>
      </c>
      <c r="N37" s="88"/>
    </row>
    <row r="38" spans="1:15" ht="18" customHeight="1" x14ac:dyDescent="0.25">
      <c r="A38" s="14"/>
      <c r="B38" s="14"/>
      <c r="C38" s="14"/>
      <c r="D38" s="14"/>
      <c r="E38" s="14"/>
      <c r="F38" s="14"/>
      <c r="G38" s="14"/>
      <c r="H38" s="14"/>
      <c r="I38" s="14"/>
      <c r="K38" s="26" t="s">
        <v>20</v>
      </c>
      <c r="L38" s="27" t="s">
        <v>4</v>
      </c>
      <c r="M38" s="88">
        <v>1000</v>
      </c>
      <c r="N38" s="88"/>
    </row>
    <row r="39" spans="1:15" ht="18" customHeight="1" x14ac:dyDescent="0.25">
      <c r="A39" s="15"/>
      <c r="C39" s="5"/>
      <c r="D39" s="5"/>
      <c r="E39" s="5"/>
      <c r="F39" s="5"/>
      <c r="G39" s="5"/>
      <c r="H39" s="5"/>
      <c r="I39" s="5"/>
      <c r="K39" s="28" t="s">
        <v>21</v>
      </c>
      <c r="L39" s="27" t="s">
        <v>4</v>
      </c>
      <c r="M39" s="88">
        <f>SUM(M34:M38)</f>
        <v>5753.0400000000009</v>
      </c>
      <c r="N39" s="88"/>
    </row>
    <row r="40" spans="1:15" x14ac:dyDescent="0.25">
      <c r="A40" s="29"/>
      <c r="B40" s="29"/>
      <c r="C40" s="29"/>
      <c r="D40" s="40" t="s">
        <v>22</v>
      </c>
      <c r="E40" s="39" t="s">
        <v>4</v>
      </c>
      <c r="F40" s="90" t="str">
        <f>SpellNumber(M39)</f>
        <v xml:space="preserve">Rupees Five Thousand Seven Hundred FiftyThree Paise Four Only </v>
      </c>
      <c r="G40" s="90"/>
      <c r="H40" s="90"/>
      <c r="I40" s="90"/>
    </row>
    <row r="41" spans="1:15" x14ac:dyDescent="0.25">
      <c r="C41" s="6"/>
      <c r="D41" s="6"/>
      <c r="E41" s="6"/>
      <c r="F41" s="90"/>
      <c r="G41" s="90"/>
      <c r="H41" s="90"/>
      <c r="I41" s="90"/>
      <c r="K41" s="11"/>
    </row>
    <row r="42" spans="1:15" x14ac:dyDescent="0.25">
      <c r="C42" s="6"/>
      <c r="D42" s="6"/>
      <c r="E42" s="6"/>
      <c r="F42" s="6"/>
      <c r="G42" s="6"/>
      <c r="H42" s="6"/>
      <c r="I42" s="6"/>
      <c r="K42" s="11"/>
    </row>
    <row r="43" spans="1:15" x14ac:dyDescent="0.25">
      <c r="C43" s="6"/>
      <c r="D43" s="6"/>
      <c r="E43" s="6"/>
      <c r="F43" s="6"/>
      <c r="G43" s="6"/>
      <c r="H43" s="6"/>
      <c r="I43" s="6"/>
      <c r="K43" s="11"/>
    </row>
    <row r="44" spans="1:15" x14ac:dyDescent="0.25">
      <c r="C44" s="6"/>
      <c r="D44" s="6"/>
      <c r="E44" s="6"/>
      <c r="F44" s="6"/>
      <c r="G44" s="6"/>
      <c r="H44" s="6"/>
      <c r="I44" s="6"/>
    </row>
    <row r="45" spans="1:15" x14ac:dyDescent="0.25"/>
    <row r="46" spans="1:15" x14ac:dyDescent="0.25">
      <c r="A46" s="91" t="s">
        <v>23</v>
      </c>
      <c r="B46" s="91"/>
      <c r="C46" s="91"/>
      <c r="D46" s="91"/>
      <c r="E46" s="91"/>
      <c r="F46" s="91"/>
      <c r="I46" s="92" t="s">
        <v>24</v>
      </c>
      <c r="J46" s="92"/>
      <c r="K46" s="92"/>
      <c r="L46" s="92"/>
      <c r="M46" s="92"/>
    </row>
    <row r="47" spans="1:15" x14ac:dyDescent="0.25"/>
    <row r="48" spans="1:15" x14ac:dyDescent="0.25"/>
    <row r="49" spans="9:13" x14ac:dyDescent="0.25">
      <c r="I49" s="93" t="s">
        <v>25</v>
      </c>
      <c r="J49" s="93"/>
      <c r="K49" s="93"/>
      <c r="L49" s="93"/>
      <c r="M49" s="93"/>
    </row>
    <row r="50" spans="9:13" x14ac:dyDescent="0.25"/>
    <row r="51" spans="9:13" x14ac:dyDescent="0.25"/>
  </sheetData>
  <mergeCells count="76">
    <mergeCell ref="M38:N38"/>
    <mergeCell ref="M39:N39"/>
    <mergeCell ref="A46:F46"/>
    <mergeCell ref="I46:M46"/>
    <mergeCell ref="I49:M49"/>
    <mergeCell ref="A17:F17"/>
    <mergeCell ref="I17:N17"/>
    <mergeCell ref="F40:I41"/>
    <mergeCell ref="L30:M30"/>
    <mergeCell ref="B27:F27"/>
    <mergeCell ref="I27:J27"/>
    <mergeCell ref="L27:M27"/>
    <mergeCell ref="B28:F28"/>
    <mergeCell ref="I28:J28"/>
    <mergeCell ref="L28:M28"/>
    <mergeCell ref="B25:F25"/>
    <mergeCell ref="I25:J25"/>
    <mergeCell ref="B29:F29"/>
    <mergeCell ref="I29:J29"/>
    <mergeCell ref="L29:M29"/>
    <mergeCell ref="B30:F30"/>
    <mergeCell ref="I30:J30"/>
    <mergeCell ref="B33:F33"/>
    <mergeCell ref="I33:J33"/>
    <mergeCell ref="L33:M33"/>
    <mergeCell ref="A34:I37"/>
    <mergeCell ref="B31:F31"/>
    <mergeCell ref="I31:J31"/>
    <mergeCell ref="L31:M31"/>
    <mergeCell ref="B32:F32"/>
    <mergeCell ref="I32:J32"/>
    <mergeCell ref="L32:M32"/>
    <mergeCell ref="M34:N34"/>
    <mergeCell ref="M35:N35"/>
    <mergeCell ref="M36:N36"/>
    <mergeCell ref="M37:N37"/>
    <mergeCell ref="L25:M25"/>
    <mergeCell ref="B26:F26"/>
    <mergeCell ref="I26:J26"/>
    <mergeCell ref="L26:M26"/>
    <mergeCell ref="A21:E21"/>
    <mergeCell ref="B23:F23"/>
    <mergeCell ref="I23:J23"/>
    <mergeCell ref="L23:M23"/>
    <mergeCell ref="B24:F24"/>
    <mergeCell ref="I24:J24"/>
    <mergeCell ref="L24:M24"/>
    <mergeCell ref="A18:F18"/>
    <mergeCell ref="I18:N18"/>
    <mergeCell ref="A19:F19"/>
    <mergeCell ref="I19:N19"/>
    <mergeCell ref="A20:E20"/>
    <mergeCell ref="I20:K20"/>
    <mergeCell ref="M20:N20"/>
    <mergeCell ref="A14:B14"/>
    <mergeCell ref="A15:F15"/>
    <mergeCell ref="I15:N15"/>
    <mergeCell ref="A16:B16"/>
    <mergeCell ref="D16:F16"/>
    <mergeCell ref="K16:N16"/>
    <mergeCell ref="A10:F13"/>
    <mergeCell ref="J10:K10"/>
    <mergeCell ref="M10:N10"/>
    <mergeCell ref="J11:K11"/>
    <mergeCell ref="M11:N11"/>
    <mergeCell ref="J12:K12"/>
    <mergeCell ref="M12:N12"/>
    <mergeCell ref="A9:B9"/>
    <mergeCell ref="D9:F9"/>
    <mergeCell ref="J9:K9"/>
    <mergeCell ref="M9:N9"/>
    <mergeCell ref="A1:N1"/>
    <mergeCell ref="A2:N2"/>
    <mergeCell ref="A3:B3"/>
    <mergeCell ref="A7:F7"/>
    <mergeCell ref="A8:B8"/>
  </mergeCells>
  <pageMargins left="0.39" right="7.0000000000000007E-2" top="0.31" bottom="0.16" header="0.16" footer="0.08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intPreview">
                <anchor moveWithCells="1">
                  <from>
                    <xdr:col>3</xdr:col>
                    <xdr:colOff>476250</xdr:colOff>
                    <xdr:row>49</xdr:row>
                    <xdr:rowOff>28575</xdr:rowOff>
                  </from>
                  <to>
                    <xdr:col>6</xdr:col>
                    <xdr:colOff>161925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rintOut">
                <anchor moveWithCells="1">
                  <from>
                    <xdr:col>6</xdr:col>
                    <xdr:colOff>628650</xdr:colOff>
                    <xdr:row>49</xdr:row>
                    <xdr:rowOff>9525</xdr:rowOff>
                  </from>
                  <to>
                    <xdr:col>8</xdr:col>
                    <xdr:colOff>228600</xdr:colOff>
                    <xdr:row>50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8"/>
  <sheetViews>
    <sheetView workbookViewId="0">
      <selection activeCell="D10" sqref="D10"/>
    </sheetView>
  </sheetViews>
  <sheetFormatPr defaultRowHeight="15" x14ac:dyDescent="0.25"/>
  <cols>
    <col min="4" max="4" width="10.375" bestFit="1" customWidth="1"/>
    <col min="5" max="5" width="8.25" bestFit="1" customWidth="1"/>
  </cols>
  <sheetData>
    <row r="1" spans="1:18" x14ac:dyDescent="0.25">
      <c r="A1" t="s">
        <v>373</v>
      </c>
      <c r="B1" t="s">
        <v>381</v>
      </c>
      <c r="C1" t="s">
        <v>389</v>
      </c>
      <c r="D1" t="s">
        <v>393</v>
      </c>
      <c r="E1" t="s">
        <v>394</v>
      </c>
      <c r="F1" t="s">
        <v>395</v>
      </c>
      <c r="G1" t="s">
        <v>401</v>
      </c>
      <c r="H1" t="s">
        <v>402</v>
      </c>
      <c r="I1" t="s">
        <v>404</v>
      </c>
      <c r="J1" t="s">
        <v>405</v>
      </c>
      <c r="K1" t="s">
        <v>406</v>
      </c>
      <c r="L1" t="s">
        <v>407</v>
      </c>
      <c r="M1" t="s">
        <v>408</v>
      </c>
      <c r="N1" t="s">
        <v>409</v>
      </c>
      <c r="O1" t="s">
        <v>410</v>
      </c>
      <c r="P1" t="s">
        <v>411</v>
      </c>
      <c r="Q1" t="s">
        <v>412</v>
      </c>
      <c r="R1" t="s">
        <v>413</v>
      </c>
    </row>
    <row r="2" spans="1:18" x14ac:dyDescent="0.25">
      <c r="A2" t="s">
        <v>374</v>
      </c>
      <c r="B2" t="s">
        <v>383</v>
      </c>
      <c r="C2">
        <v>18</v>
      </c>
      <c r="D2" s="2">
        <f ca="1">TODAY()</f>
        <v>45888</v>
      </c>
      <c r="E2" s="3">
        <f ca="1">NOW()-TODAY()</f>
        <v>0.60046469907683786</v>
      </c>
      <c r="F2" t="s">
        <v>372</v>
      </c>
      <c r="G2" t="s">
        <v>396</v>
      </c>
      <c r="H2">
        <v>123456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</row>
    <row r="3" spans="1:18" x14ac:dyDescent="0.25">
      <c r="A3" t="s">
        <v>375</v>
      </c>
      <c r="B3" t="s">
        <v>384</v>
      </c>
      <c r="C3">
        <v>28</v>
      </c>
      <c r="G3" t="s">
        <v>397</v>
      </c>
    </row>
    <row r="4" spans="1:18" x14ac:dyDescent="0.25">
      <c r="A4" t="s">
        <v>376</v>
      </c>
      <c r="B4" t="s">
        <v>382</v>
      </c>
      <c r="C4">
        <v>5</v>
      </c>
      <c r="G4" t="s">
        <v>400</v>
      </c>
    </row>
    <row r="5" spans="1:18" x14ac:dyDescent="0.25">
      <c r="A5" t="s">
        <v>377</v>
      </c>
      <c r="B5" t="s">
        <v>385</v>
      </c>
      <c r="G5" t="s">
        <v>398</v>
      </c>
    </row>
    <row r="6" spans="1:18" x14ac:dyDescent="0.25">
      <c r="A6" t="s">
        <v>378</v>
      </c>
      <c r="B6" t="s">
        <v>386</v>
      </c>
      <c r="G6" t="s">
        <v>399</v>
      </c>
    </row>
    <row r="7" spans="1:18" x14ac:dyDescent="0.25">
      <c r="A7" t="s">
        <v>379</v>
      </c>
      <c r="B7" t="s">
        <v>387</v>
      </c>
    </row>
    <row r="8" spans="1:18" x14ac:dyDescent="0.25">
      <c r="A8" t="s">
        <v>380</v>
      </c>
      <c r="B8" t="s">
        <v>388</v>
      </c>
    </row>
  </sheetData>
  <sheetProtection password="FE4B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86"/>
  <sheetViews>
    <sheetView topLeftCell="B1" workbookViewId="0">
      <selection activeCell="G9" sqref="G9"/>
    </sheetView>
  </sheetViews>
  <sheetFormatPr defaultRowHeight="15" x14ac:dyDescent="0.25"/>
  <cols>
    <col min="7" max="7" width="12.625" bestFit="1" customWidth="1"/>
    <col min="9" max="9" width="32.75" bestFit="1" customWidth="1"/>
  </cols>
  <sheetData>
    <row r="2" spans="2:18" x14ac:dyDescent="0.25">
      <c r="B2" t="s">
        <v>113</v>
      </c>
      <c r="C2" t="s">
        <v>114</v>
      </c>
      <c r="D2" t="s">
        <v>118</v>
      </c>
      <c r="E2" t="s">
        <v>115</v>
      </c>
      <c r="F2" t="s">
        <v>116</v>
      </c>
      <c r="G2" t="s">
        <v>29</v>
      </c>
      <c r="H2" t="s">
        <v>117</v>
      </c>
      <c r="I2" t="str">
        <f>B2&amp;C2&amp;D2&amp;E2&amp;F2&amp;G2&amp;H2</f>
        <v>Range("M9").value=TextBox1.Text</v>
      </c>
      <c r="J2" t="s">
        <v>201</v>
      </c>
      <c r="N2" s="1" t="s">
        <v>285</v>
      </c>
      <c r="R2" s="1" t="s">
        <v>285</v>
      </c>
    </row>
    <row r="3" spans="2:18" x14ac:dyDescent="0.25">
      <c r="B3" t="s">
        <v>113</v>
      </c>
      <c r="C3" t="s">
        <v>114</v>
      </c>
      <c r="D3" t="s">
        <v>119</v>
      </c>
      <c r="E3" t="s">
        <v>115</v>
      </c>
      <c r="F3" t="s">
        <v>116</v>
      </c>
      <c r="G3" t="s">
        <v>31</v>
      </c>
      <c r="H3" t="s">
        <v>117</v>
      </c>
      <c r="I3" t="str">
        <f t="shared" ref="I3:I66" si="0">B3&amp;C3&amp;D3&amp;E3&amp;F3&amp;G3&amp;H3</f>
        <v>Range("D16").value=TextBox2.Text</v>
      </c>
      <c r="J3" t="s">
        <v>202</v>
      </c>
      <c r="N3" t="s">
        <v>286</v>
      </c>
      <c r="O3" t="s">
        <v>29</v>
      </c>
      <c r="P3" t="s">
        <v>287</v>
      </c>
      <c r="Q3" t="str">
        <f>N3&amp;O3&amp;P3</f>
        <v>Me.TextBox1.Value=""</v>
      </c>
      <c r="R3" t="s">
        <v>288</v>
      </c>
    </row>
    <row r="4" spans="2:18" x14ac:dyDescent="0.25">
      <c r="B4" t="s">
        <v>113</v>
      </c>
      <c r="C4" t="s">
        <v>114</v>
      </c>
      <c r="D4" t="s">
        <v>120</v>
      </c>
      <c r="E4" t="s">
        <v>115</v>
      </c>
      <c r="F4" t="s">
        <v>116</v>
      </c>
      <c r="G4" t="s">
        <v>33</v>
      </c>
      <c r="H4" t="s">
        <v>117</v>
      </c>
      <c r="I4" t="str">
        <f t="shared" si="0"/>
        <v>Range("A17").value=TextBox3.Text</v>
      </c>
      <c r="J4" t="s">
        <v>203</v>
      </c>
      <c r="N4" t="s">
        <v>286</v>
      </c>
      <c r="O4" t="s">
        <v>31</v>
      </c>
      <c r="P4" t="s">
        <v>287</v>
      </c>
      <c r="Q4" t="str">
        <f t="shared" ref="Q4:Q67" si="1">N4&amp;O4&amp;P4</f>
        <v>Me.TextBox2.Value=""</v>
      </c>
      <c r="R4" t="s">
        <v>289</v>
      </c>
    </row>
    <row r="5" spans="2:18" x14ac:dyDescent="0.25">
      <c r="B5" t="s">
        <v>113</v>
      </c>
      <c r="C5" t="s">
        <v>114</v>
      </c>
      <c r="D5" t="s">
        <v>121</v>
      </c>
      <c r="E5" t="s">
        <v>115</v>
      </c>
      <c r="F5" t="s">
        <v>116</v>
      </c>
      <c r="G5" t="s">
        <v>34</v>
      </c>
      <c r="H5" t="s">
        <v>117</v>
      </c>
      <c r="I5" t="str">
        <f t="shared" si="0"/>
        <v>Range("A18").value=TextBox4.Text</v>
      </c>
      <c r="J5" t="s">
        <v>204</v>
      </c>
      <c r="N5" t="s">
        <v>286</v>
      </c>
      <c r="O5" t="s">
        <v>33</v>
      </c>
      <c r="P5" t="s">
        <v>287</v>
      </c>
      <c r="Q5" t="str">
        <f t="shared" si="1"/>
        <v>Me.TextBox3.Value=""</v>
      </c>
      <c r="R5" t="s">
        <v>290</v>
      </c>
    </row>
    <row r="6" spans="2:18" x14ac:dyDescent="0.25">
      <c r="B6" t="s">
        <v>113</v>
      </c>
      <c r="C6" t="s">
        <v>114</v>
      </c>
      <c r="D6" t="s">
        <v>122</v>
      </c>
      <c r="E6" t="s">
        <v>115</v>
      </c>
      <c r="F6" t="s">
        <v>116</v>
      </c>
      <c r="G6" t="s">
        <v>35</v>
      </c>
      <c r="H6" t="s">
        <v>117</v>
      </c>
      <c r="I6" t="str">
        <f t="shared" si="0"/>
        <v>Range("A19").value=TextBox5.Text</v>
      </c>
      <c r="J6" t="s">
        <v>205</v>
      </c>
      <c r="N6" t="s">
        <v>286</v>
      </c>
      <c r="O6" t="s">
        <v>34</v>
      </c>
      <c r="P6" t="s">
        <v>287</v>
      </c>
      <c r="Q6" t="str">
        <f t="shared" si="1"/>
        <v>Me.TextBox4.Value=""</v>
      </c>
      <c r="R6" t="s">
        <v>291</v>
      </c>
    </row>
    <row r="7" spans="2:18" x14ac:dyDescent="0.25">
      <c r="B7" t="s">
        <v>113</v>
      </c>
      <c r="C7" t="s">
        <v>114</v>
      </c>
      <c r="D7" t="s">
        <v>124</v>
      </c>
      <c r="E7" t="s">
        <v>115</v>
      </c>
      <c r="F7" t="s">
        <v>116</v>
      </c>
      <c r="G7" t="s">
        <v>36</v>
      </c>
      <c r="H7" t="s">
        <v>117</v>
      </c>
      <c r="I7" t="str">
        <f t="shared" si="0"/>
        <v>Range("F21").value=TextBox6.Text</v>
      </c>
      <c r="J7" t="s">
        <v>206</v>
      </c>
      <c r="N7" t="s">
        <v>286</v>
      </c>
      <c r="O7" t="s">
        <v>35</v>
      </c>
      <c r="P7" t="s">
        <v>287</v>
      </c>
      <c r="Q7" t="str">
        <f t="shared" si="1"/>
        <v>Me.TextBox5.Value=""</v>
      </c>
      <c r="R7" t="s">
        <v>292</v>
      </c>
    </row>
    <row r="8" spans="2:18" x14ac:dyDescent="0.25">
      <c r="B8" t="s">
        <v>113</v>
      </c>
      <c r="C8" t="s">
        <v>114</v>
      </c>
      <c r="D8" t="s">
        <v>125</v>
      </c>
      <c r="E8" t="s">
        <v>115</v>
      </c>
      <c r="F8" t="s">
        <v>116</v>
      </c>
      <c r="G8" t="s">
        <v>37</v>
      </c>
      <c r="H8" t="s">
        <v>117</v>
      </c>
      <c r="I8" t="str">
        <f t="shared" si="0"/>
        <v>Range("K16").value=TextBox7.Text</v>
      </c>
      <c r="J8" t="s">
        <v>207</v>
      </c>
      <c r="N8" t="s">
        <v>286</v>
      </c>
      <c r="O8" t="s">
        <v>36</v>
      </c>
      <c r="P8" t="s">
        <v>287</v>
      </c>
      <c r="Q8" t="str">
        <f t="shared" si="1"/>
        <v>Me.TextBox6.Value=""</v>
      </c>
      <c r="R8" t="s">
        <v>293</v>
      </c>
    </row>
    <row r="9" spans="2:18" x14ac:dyDescent="0.25">
      <c r="B9" t="s">
        <v>113</v>
      </c>
      <c r="C9" t="s">
        <v>114</v>
      </c>
      <c r="D9" t="s">
        <v>126</v>
      </c>
      <c r="E9" t="s">
        <v>115</v>
      </c>
      <c r="F9" t="s">
        <v>116</v>
      </c>
      <c r="G9" t="s">
        <v>38</v>
      </c>
      <c r="H9" t="s">
        <v>117</v>
      </c>
      <c r="I9" t="str">
        <f t="shared" si="0"/>
        <v>Range("I17").value=TextBox8.Text</v>
      </c>
      <c r="J9" t="s">
        <v>208</v>
      </c>
      <c r="M9">
        <v>2</v>
      </c>
      <c r="N9" t="s">
        <v>286</v>
      </c>
      <c r="O9" t="s">
        <v>37</v>
      </c>
      <c r="P9" t="s">
        <v>287</v>
      </c>
      <c r="Q9" t="str">
        <f t="shared" si="1"/>
        <v>Me.TextBox7.Value=""</v>
      </c>
      <c r="R9" t="s">
        <v>294</v>
      </c>
    </row>
    <row r="10" spans="2:18" x14ac:dyDescent="0.25">
      <c r="B10" t="s">
        <v>113</v>
      </c>
      <c r="C10" t="s">
        <v>114</v>
      </c>
      <c r="D10" t="s">
        <v>127</v>
      </c>
      <c r="E10" t="s">
        <v>115</v>
      </c>
      <c r="F10" t="s">
        <v>116</v>
      </c>
      <c r="G10" t="s">
        <v>39</v>
      </c>
      <c r="H10" t="s">
        <v>117</v>
      </c>
      <c r="I10" t="str">
        <f t="shared" si="0"/>
        <v>Range("I18").value=TextBox9.Text</v>
      </c>
      <c r="J10" t="s">
        <v>209</v>
      </c>
      <c r="N10" t="s">
        <v>286</v>
      </c>
      <c r="O10" t="s">
        <v>38</v>
      </c>
      <c r="P10" t="s">
        <v>287</v>
      </c>
      <c r="Q10" t="str">
        <f t="shared" si="1"/>
        <v>Me.TextBox8.Value=""</v>
      </c>
      <c r="R10" t="s">
        <v>295</v>
      </c>
    </row>
    <row r="11" spans="2:18" x14ac:dyDescent="0.25">
      <c r="B11" t="s">
        <v>113</v>
      </c>
      <c r="C11" t="s">
        <v>114</v>
      </c>
      <c r="D11" t="s">
        <v>128</v>
      </c>
      <c r="E11" t="s">
        <v>115</v>
      </c>
      <c r="F11" t="s">
        <v>116</v>
      </c>
      <c r="G11" t="s">
        <v>40</v>
      </c>
      <c r="H11" t="s">
        <v>117</v>
      </c>
      <c r="I11" t="str">
        <f t="shared" si="0"/>
        <v>Range("I19").value=TextBox10.Text</v>
      </c>
      <c r="J11" t="s">
        <v>210</v>
      </c>
      <c r="N11" t="s">
        <v>286</v>
      </c>
      <c r="O11" t="s">
        <v>39</v>
      </c>
      <c r="P11" t="s">
        <v>287</v>
      </c>
      <c r="Q11" t="str">
        <f t="shared" si="1"/>
        <v>Me.TextBox9.Value=""</v>
      </c>
      <c r="R11" t="s">
        <v>296</v>
      </c>
    </row>
    <row r="12" spans="2:18" x14ac:dyDescent="0.25">
      <c r="B12" t="s">
        <v>113</v>
      </c>
      <c r="C12" t="s">
        <v>114</v>
      </c>
      <c r="D12" t="s">
        <v>129</v>
      </c>
      <c r="E12" t="s">
        <v>115</v>
      </c>
      <c r="F12" t="s">
        <v>116</v>
      </c>
      <c r="G12" t="s">
        <v>41</v>
      </c>
      <c r="H12" t="s">
        <v>117</v>
      </c>
      <c r="I12" t="str">
        <f t="shared" si="0"/>
        <v>Range("H24").value=TextBox11.Text</v>
      </c>
      <c r="J12" t="s">
        <v>211</v>
      </c>
      <c r="N12" t="s">
        <v>286</v>
      </c>
      <c r="O12" t="s">
        <v>40</v>
      </c>
      <c r="P12" t="s">
        <v>287</v>
      </c>
      <c r="Q12" t="str">
        <f t="shared" si="1"/>
        <v>Me.TextBox10.Value=""</v>
      </c>
      <c r="R12" t="s">
        <v>297</v>
      </c>
    </row>
    <row r="13" spans="2:18" x14ac:dyDescent="0.25">
      <c r="B13" t="s">
        <v>113</v>
      </c>
      <c r="C13" t="s">
        <v>114</v>
      </c>
      <c r="D13" t="s">
        <v>130</v>
      </c>
      <c r="E13" t="s">
        <v>115</v>
      </c>
      <c r="F13" t="s">
        <v>116</v>
      </c>
      <c r="G13" t="s">
        <v>42</v>
      </c>
      <c r="H13" t="s">
        <v>117</v>
      </c>
      <c r="I13" t="str">
        <f t="shared" si="0"/>
        <v>Range("H25").value=TextBox12.Text</v>
      </c>
      <c r="J13" t="s">
        <v>212</v>
      </c>
      <c r="N13" t="s">
        <v>286</v>
      </c>
      <c r="O13" t="s">
        <v>41</v>
      </c>
      <c r="P13" t="s">
        <v>287</v>
      </c>
      <c r="Q13" t="str">
        <f t="shared" si="1"/>
        <v>Me.TextBox11.Value=""</v>
      </c>
      <c r="R13" t="s">
        <v>298</v>
      </c>
    </row>
    <row r="14" spans="2:18" x14ac:dyDescent="0.25">
      <c r="B14" t="s">
        <v>113</v>
      </c>
      <c r="C14" t="s">
        <v>114</v>
      </c>
      <c r="D14" t="s">
        <v>131</v>
      </c>
      <c r="E14" t="s">
        <v>115</v>
      </c>
      <c r="F14" t="s">
        <v>116</v>
      </c>
      <c r="G14" t="s">
        <v>43</v>
      </c>
      <c r="H14" t="s">
        <v>117</v>
      </c>
      <c r="I14" t="str">
        <f t="shared" si="0"/>
        <v>Range("H26").value=TextBox13.Text</v>
      </c>
      <c r="J14" t="s">
        <v>213</v>
      </c>
      <c r="N14" t="s">
        <v>286</v>
      </c>
      <c r="O14" t="s">
        <v>42</v>
      </c>
      <c r="P14" t="s">
        <v>287</v>
      </c>
      <c r="Q14" t="str">
        <f t="shared" si="1"/>
        <v>Me.TextBox12.Value=""</v>
      </c>
      <c r="R14" t="s">
        <v>299</v>
      </c>
    </row>
    <row r="15" spans="2:18" x14ac:dyDescent="0.25">
      <c r="B15" t="s">
        <v>113</v>
      </c>
      <c r="C15" t="s">
        <v>114</v>
      </c>
      <c r="D15" t="s">
        <v>132</v>
      </c>
      <c r="E15" t="s">
        <v>115</v>
      </c>
      <c r="F15" t="s">
        <v>116</v>
      </c>
      <c r="G15" t="s">
        <v>44</v>
      </c>
      <c r="H15" t="s">
        <v>117</v>
      </c>
      <c r="I15" t="str">
        <f t="shared" si="0"/>
        <v>Range("H27").value=TextBox14.Text</v>
      </c>
      <c r="J15" t="s">
        <v>214</v>
      </c>
      <c r="N15" t="s">
        <v>286</v>
      </c>
      <c r="O15" t="s">
        <v>43</v>
      </c>
      <c r="P15" t="s">
        <v>287</v>
      </c>
      <c r="Q15" t="str">
        <f t="shared" si="1"/>
        <v>Me.TextBox13.Value=""</v>
      </c>
      <c r="R15" t="s">
        <v>300</v>
      </c>
    </row>
    <row r="16" spans="2:18" x14ac:dyDescent="0.25">
      <c r="B16" t="s">
        <v>113</v>
      </c>
      <c r="C16" t="s">
        <v>114</v>
      </c>
      <c r="E16" t="s">
        <v>115</v>
      </c>
      <c r="F16" t="s">
        <v>116</v>
      </c>
      <c r="G16" t="s">
        <v>45</v>
      </c>
      <c r="H16" t="s">
        <v>117</v>
      </c>
      <c r="I16" t="str">
        <f t="shared" si="0"/>
        <v>Range("").value=TextBox15.Text</v>
      </c>
      <c r="J16" t="s">
        <v>215</v>
      </c>
      <c r="N16" t="s">
        <v>286</v>
      </c>
      <c r="O16" t="s">
        <v>44</v>
      </c>
      <c r="P16" t="s">
        <v>287</v>
      </c>
      <c r="Q16" t="str">
        <f t="shared" si="1"/>
        <v>Me.TextBox14.Value=""</v>
      </c>
      <c r="R16" t="s">
        <v>301</v>
      </c>
    </row>
    <row r="17" spans="2:18" x14ac:dyDescent="0.25">
      <c r="B17" t="s">
        <v>113</v>
      </c>
      <c r="C17" t="s">
        <v>114</v>
      </c>
      <c r="D17" t="s">
        <v>133</v>
      </c>
      <c r="E17" t="s">
        <v>115</v>
      </c>
      <c r="F17" t="s">
        <v>116</v>
      </c>
      <c r="G17" t="s">
        <v>46</v>
      </c>
      <c r="H17" t="s">
        <v>117</v>
      </c>
      <c r="J17" t="s">
        <v>216</v>
      </c>
      <c r="N17" t="s">
        <v>286</v>
      </c>
      <c r="O17" t="s">
        <v>45</v>
      </c>
      <c r="P17" t="s">
        <v>287</v>
      </c>
      <c r="Q17" t="str">
        <f t="shared" si="1"/>
        <v>Me.TextBox15.Value=""</v>
      </c>
      <c r="R17" t="s">
        <v>302</v>
      </c>
    </row>
    <row r="18" spans="2:18" x14ac:dyDescent="0.25">
      <c r="B18" t="s">
        <v>113</v>
      </c>
      <c r="C18" t="s">
        <v>114</v>
      </c>
      <c r="D18" t="s">
        <v>134</v>
      </c>
      <c r="E18" t="s">
        <v>115</v>
      </c>
      <c r="F18" t="s">
        <v>116</v>
      </c>
      <c r="G18" t="s">
        <v>47</v>
      </c>
      <c r="H18" t="s">
        <v>117</v>
      </c>
      <c r="J18" t="s">
        <v>217</v>
      </c>
      <c r="N18" t="s">
        <v>286</v>
      </c>
      <c r="O18" t="s">
        <v>46</v>
      </c>
      <c r="P18" t="s">
        <v>287</v>
      </c>
      <c r="Q18" t="str">
        <f t="shared" si="1"/>
        <v>Me.TextBox16.Value=""</v>
      </c>
      <c r="R18" t="s">
        <v>303</v>
      </c>
    </row>
    <row r="19" spans="2:18" x14ac:dyDescent="0.25">
      <c r="B19" t="s">
        <v>113</v>
      </c>
      <c r="C19" t="s">
        <v>114</v>
      </c>
      <c r="D19" t="s">
        <v>135</v>
      </c>
      <c r="E19" t="s">
        <v>115</v>
      </c>
      <c r="F19" t="s">
        <v>116</v>
      </c>
      <c r="G19" t="s">
        <v>48</v>
      </c>
      <c r="H19" t="s">
        <v>117</v>
      </c>
      <c r="J19" t="s">
        <v>218</v>
      </c>
      <c r="N19" t="s">
        <v>286</v>
      </c>
      <c r="O19" t="s">
        <v>47</v>
      </c>
      <c r="P19" t="s">
        <v>287</v>
      </c>
      <c r="Q19" t="str">
        <f t="shared" si="1"/>
        <v>Me.TextBox17.Value=""</v>
      </c>
      <c r="R19" t="s">
        <v>304</v>
      </c>
    </row>
    <row r="20" spans="2:18" x14ac:dyDescent="0.25">
      <c r="B20" t="s">
        <v>113</v>
      </c>
      <c r="C20" t="s">
        <v>114</v>
      </c>
      <c r="D20" t="s">
        <v>136</v>
      </c>
      <c r="E20" t="s">
        <v>115</v>
      </c>
      <c r="G20" t="s">
        <v>49</v>
      </c>
      <c r="H20" t="s">
        <v>117</v>
      </c>
      <c r="I20" t="str">
        <f t="shared" si="0"/>
        <v>Range("H32")TextBox19.Text</v>
      </c>
      <c r="J20" t="s">
        <v>219</v>
      </c>
      <c r="N20" t="s">
        <v>286</v>
      </c>
      <c r="O20" t="s">
        <v>48</v>
      </c>
      <c r="P20" t="s">
        <v>287</v>
      </c>
      <c r="Q20" t="str">
        <f t="shared" si="1"/>
        <v>Me.TextBox18.Value=""</v>
      </c>
      <c r="R20" t="s">
        <v>305</v>
      </c>
    </row>
    <row r="21" spans="2:18" x14ac:dyDescent="0.25">
      <c r="B21" t="s">
        <v>113</v>
      </c>
      <c r="C21" t="s">
        <v>114</v>
      </c>
      <c r="D21" t="s">
        <v>137</v>
      </c>
      <c r="E21" t="s">
        <v>115</v>
      </c>
      <c r="G21" t="s">
        <v>50</v>
      </c>
      <c r="H21" t="s">
        <v>117</v>
      </c>
      <c r="I21" t="str">
        <f t="shared" si="0"/>
        <v>Range("H33")TextBox20.Text</v>
      </c>
      <c r="J21" t="s">
        <v>220</v>
      </c>
      <c r="N21" t="s">
        <v>286</v>
      </c>
      <c r="O21" t="s">
        <v>49</v>
      </c>
      <c r="P21" t="s">
        <v>287</v>
      </c>
      <c r="Q21" t="str">
        <f t="shared" si="1"/>
        <v>Me.TextBox19.Value=""</v>
      </c>
      <c r="R21" t="s">
        <v>306</v>
      </c>
    </row>
    <row r="22" spans="2:18" x14ac:dyDescent="0.25">
      <c r="B22" t="s">
        <v>113</v>
      </c>
      <c r="C22" t="s">
        <v>114</v>
      </c>
      <c r="D22" t="s">
        <v>138</v>
      </c>
      <c r="E22" t="s">
        <v>115</v>
      </c>
      <c r="F22" t="s">
        <v>116</v>
      </c>
      <c r="G22" t="s">
        <v>51</v>
      </c>
      <c r="H22" t="s">
        <v>117</v>
      </c>
      <c r="I22" t="str">
        <f t="shared" si="0"/>
        <v>Range("K24").value=TextBox21.Text</v>
      </c>
      <c r="J22" t="s">
        <v>221</v>
      </c>
      <c r="N22" t="s">
        <v>286</v>
      </c>
      <c r="O22" t="s">
        <v>50</v>
      </c>
      <c r="P22" t="s">
        <v>287</v>
      </c>
      <c r="Q22" t="str">
        <f t="shared" si="1"/>
        <v>Me.TextBox20.Value=""</v>
      </c>
      <c r="R22" t="s">
        <v>307</v>
      </c>
    </row>
    <row r="23" spans="2:18" x14ac:dyDescent="0.25">
      <c r="B23" t="s">
        <v>113</v>
      </c>
      <c r="C23" t="s">
        <v>114</v>
      </c>
      <c r="D23" t="s">
        <v>139</v>
      </c>
      <c r="E23" t="s">
        <v>115</v>
      </c>
      <c r="F23" t="s">
        <v>116</v>
      </c>
      <c r="G23" t="s">
        <v>52</v>
      </c>
      <c r="H23" t="s">
        <v>117</v>
      </c>
      <c r="I23" t="str">
        <f t="shared" si="0"/>
        <v>Range("K25").value=TextBox22.Text</v>
      </c>
      <c r="J23" t="s">
        <v>222</v>
      </c>
      <c r="N23" t="s">
        <v>286</v>
      </c>
      <c r="O23" t="s">
        <v>51</v>
      </c>
      <c r="P23" t="s">
        <v>287</v>
      </c>
      <c r="Q23" t="str">
        <f t="shared" si="1"/>
        <v>Me.TextBox21.Value=""</v>
      </c>
      <c r="R23" t="s">
        <v>308</v>
      </c>
    </row>
    <row r="24" spans="2:18" x14ac:dyDescent="0.25">
      <c r="C24" t="s">
        <v>114</v>
      </c>
      <c r="D24" t="s">
        <v>140</v>
      </c>
      <c r="E24" t="s">
        <v>115</v>
      </c>
      <c r="F24" t="s">
        <v>116</v>
      </c>
      <c r="G24" t="s">
        <v>53</v>
      </c>
      <c r="J24" t="s">
        <v>223</v>
      </c>
      <c r="N24" t="s">
        <v>286</v>
      </c>
      <c r="O24" t="s">
        <v>52</v>
      </c>
      <c r="P24" t="s">
        <v>287</v>
      </c>
      <c r="Q24" t="str">
        <f t="shared" si="1"/>
        <v>Me.TextBox22.Value=""</v>
      </c>
      <c r="R24" t="s">
        <v>309</v>
      </c>
    </row>
    <row r="25" spans="2:18" x14ac:dyDescent="0.25">
      <c r="C25" t="s">
        <v>114</v>
      </c>
      <c r="D25" t="s">
        <v>141</v>
      </c>
      <c r="E25" t="s">
        <v>115</v>
      </c>
      <c r="F25" t="s">
        <v>116</v>
      </c>
      <c r="G25" t="s">
        <v>54</v>
      </c>
      <c r="J25" t="s">
        <v>224</v>
      </c>
      <c r="N25" t="s">
        <v>286</v>
      </c>
      <c r="O25" t="s">
        <v>53</v>
      </c>
      <c r="P25" t="s">
        <v>287</v>
      </c>
      <c r="Q25" t="str">
        <f t="shared" si="1"/>
        <v>Me.TextBox23.Value=""</v>
      </c>
      <c r="R25" t="s">
        <v>310</v>
      </c>
    </row>
    <row r="26" spans="2:18" x14ac:dyDescent="0.25">
      <c r="C26" t="s">
        <v>114</v>
      </c>
      <c r="D26" t="s">
        <v>142</v>
      </c>
      <c r="E26" t="s">
        <v>115</v>
      </c>
      <c r="F26" t="s">
        <v>116</v>
      </c>
      <c r="G26" t="s">
        <v>55</v>
      </c>
      <c r="J26" t="s">
        <v>225</v>
      </c>
      <c r="N26" t="s">
        <v>286</v>
      </c>
      <c r="O26" t="s">
        <v>54</v>
      </c>
      <c r="P26" t="s">
        <v>287</v>
      </c>
      <c r="Q26" t="str">
        <f t="shared" si="1"/>
        <v>Me.TextBox24.Value=""</v>
      </c>
      <c r="R26" t="s">
        <v>311</v>
      </c>
    </row>
    <row r="27" spans="2:18" x14ac:dyDescent="0.25">
      <c r="C27" t="s">
        <v>114</v>
      </c>
      <c r="D27" t="s">
        <v>143</v>
      </c>
      <c r="E27" t="s">
        <v>115</v>
      </c>
      <c r="F27" t="s">
        <v>116</v>
      </c>
      <c r="G27" t="s">
        <v>56</v>
      </c>
      <c r="J27" t="s">
        <v>226</v>
      </c>
      <c r="N27" t="s">
        <v>286</v>
      </c>
      <c r="O27" t="s">
        <v>55</v>
      </c>
      <c r="P27" t="s">
        <v>287</v>
      </c>
      <c r="Q27" t="str">
        <f t="shared" si="1"/>
        <v>Me.TextBox25.Value=""</v>
      </c>
      <c r="R27" t="s">
        <v>312</v>
      </c>
    </row>
    <row r="28" spans="2:18" x14ac:dyDescent="0.25">
      <c r="C28" t="s">
        <v>114</v>
      </c>
      <c r="D28" t="s">
        <v>144</v>
      </c>
      <c r="E28" t="s">
        <v>115</v>
      </c>
      <c r="F28" t="s">
        <v>116</v>
      </c>
      <c r="G28" t="s">
        <v>57</v>
      </c>
      <c r="J28" t="s">
        <v>227</v>
      </c>
      <c r="N28" t="s">
        <v>286</v>
      </c>
      <c r="O28" t="s">
        <v>56</v>
      </c>
      <c r="P28" t="s">
        <v>287</v>
      </c>
      <c r="Q28" t="str">
        <f t="shared" si="1"/>
        <v>Me.TextBox26.Value=""</v>
      </c>
      <c r="R28" t="s">
        <v>313</v>
      </c>
    </row>
    <row r="29" spans="2:18" x14ac:dyDescent="0.25">
      <c r="C29" t="s">
        <v>114</v>
      </c>
      <c r="D29" t="s">
        <v>145</v>
      </c>
      <c r="E29" t="s">
        <v>115</v>
      </c>
      <c r="F29" t="s">
        <v>116</v>
      </c>
      <c r="G29" t="s">
        <v>58</v>
      </c>
      <c r="J29" t="s">
        <v>228</v>
      </c>
      <c r="N29" t="s">
        <v>286</v>
      </c>
      <c r="O29" t="s">
        <v>57</v>
      </c>
      <c r="P29" t="s">
        <v>287</v>
      </c>
      <c r="Q29" t="str">
        <f t="shared" si="1"/>
        <v>Me.TextBox27.Value=""</v>
      </c>
      <c r="R29" t="s">
        <v>314</v>
      </c>
    </row>
    <row r="30" spans="2:18" x14ac:dyDescent="0.25">
      <c r="C30" t="s">
        <v>114</v>
      </c>
      <c r="D30" t="s">
        <v>146</v>
      </c>
      <c r="E30" t="s">
        <v>115</v>
      </c>
      <c r="F30" t="s">
        <v>116</v>
      </c>
      <c r="G30" t="s">
        <v>59</v>
      </c>
      <c r="J30" t="s">
        <v>229</v>
      </c>
      <c r="N30" t="s">
        <v>286</v>
      </c>
      <c r="O30" t="s">
        <v>58</v>
      </c>
      <c r="P30" t="s">
        <v>287</v>
      </c>
      <c r="Q30" t="str">
        <f t="shared" si="1"/>
        <v>Me.TextBox28.Value=""</v>
      </c>
      <c r="R30" t="s">
        <v>315</v>
      </c>
    </row>
    <row r="31" spans="2:18" x14ac:dyDescent="0.25">
      <c r="C31" t="s">
        <v>114</v>
      </c>
      <c r="D31" t="s">
        <v>147</v>
      </c>
      <c r="E31" t="s">
        <v>115</v>
      </c>
      <c r="F31" t="s">
        <v>116</v>
      </c>
      <c r="G31" t="s">
        <v>60</v>
      </c>
      <c r="J31" t="s">
        <v>230</v>
      </c>
      <c r="N31" t="s">
        <v>286</v>
      </c>
      <c r="O31" t="s">
        <v>59</v>
      </c>
      <c r="P31" t="s">
        <v>287</v>
      </c>
      <c r="Q31" t="str">
        <f t="shared" si="1"/>
        <v>Me.TextBox29.Value=""</v>
      </c>
      <c r="R31" t="s">
        <v>316</v>
      </c>
    </row>
    <row r="32" spans="2:18" x14ac:dyDescent="0.25">
      <c r="C32" t="s">
        <v>114</v>
      </c>
      <c r="D32" t="s">
        <v>148</v>
      </c>
      <c r="E32" t="s">
        <v>115</v>
      </c>
      <c r="F32" t="s">
        <v>116</v>
      </c>
      <c r="G32" t="s">
        <v>30</v>
      </c>
      <c r="J32" t="s">
        <v>231</v>
      </c>
      <c r="N32" t="s">
        <v>286</v>
      </c>
      <c r="O32" t="s">
        <v>60</v>
      </c>
      <c r="P32" t="s">
        <v>287</v>
      </c>
      <c r="Q32" t="str">
        <f t="shared" si="1"/>
        <v>Me.TextBox30.Value=""</v>
      </c>
      <c r="R32" t="s">
        <v>317</v>
      </c>
    </row>
    <row r="33" spans="2:18" x14ac:dyDescent="0.25">
      <c r="C33" t="s">
        <v>114</v>
      </c>
      <c r="D33" t="s">
        <v>149</v>
      </c>
      <c r="E33" t="s">
        <v>115</v>
      </c>
      <c r="F33" t="s">
        <v>116</v>
      </c>
      <c r="G33" t="s">
        <v>32</v>
      </c>
      <c r="J33" t="s">
        <v>232</v>
      </c>
      <c r="N33" t="s">
        <v>286</v>
      </c>
      <c r="O33" t="s">
        <v>30</v>
      </c>
      <c r="P33" t="s">
        <v>287</v>
      </c>
      <c r="Q33" t="str">
        <f t="shared" si="1"/>
        <v>Me.ComboBox1.Value=""</v>
      </c>
      <c r="R33" t="s">
        <v>318</v>
      </c>
    </row>
    <row r="34" spans="2:18" x14ac:dyDescent="0.25">
      <c r="B34" t="s">
        <v>113</v>
      </c>
      <c r="C34" t="s">
        <v>114</v>
      </c>
      <c r="D34" t="s">
        <v>123</v>
      </c>
      <c r="E34" t="s">
        <v>115</v>
      </c>
      <c r="F34" t="s">
        <v>116</v>
      </c>
      <c r="G34" t="s">
        <v>61</v>
      </c>
      <c r="H34" t="s">
        <v>117</v>
      </c>
      <c r="I34" t="str">
        <f t="shared" si="0"/>
        <v>Range("F20").value=ComboBox3.Text</v>
      </c>
      <c r="J34" t="s">
        <v>233</v>
      </c>
      <c r="N34" t="s">
        <v>286</v>
      </c>
      <c r="O34" t="s">
        <v>32</v>
      </c>
      <c r="P34" t="s">
        <v>287</v>
      </c>
      <c r="Q34" t="str">
        <f t="shared" si="1"/>
        <v>Me.ComboBox2.Value=""</v>
      </c>
      <c r="R34" t="s">
        <v>319</v>
      </c>
    </row>
    <row r="35" spans="2:18" x14ac:dyDescent="0.25">
      <c r="B35" t="s">
        <v>113</v>
      </c>
      <c r="C35" t="s">
        <v>114</v>
      </c>
      <c r="D35" t="s">
        <v>150</v>
      </c>
      <c r="E35" t="s">
        <v>115</v>
      </c>
      <c r="F35" t="s">
        <v>116</v>
      </c>
      <c r="G35" t="s">
        <v>62</v>
      </c>
      <c r="H35" t="s">
        <v>117</v>
      </c>
      <c r="I35" t="str">
        <f t="shared" si="0"/>
        <v>Range("M20").value=ComboBox4.Text</v>
      </c>
      <c r="J35" t="s">
        <v>234</v>
      </c>
      <c r="N35" t="s">
        <v>286</v>
      </c>
      <c r="O35" t="s">
        <v>61</v>
      </c>
      <c r="P35" t="s">
        <v>287</v>
      </c>
      <c r="Q35" t="str">
        <f t="shared" si="1"/>
        <v>Me.ComboBox3.Value=""</v>
      </c>
      <c r="R35" t="s">
        <v>320</v>
      </c>
    </row>
    <row r="36" spans="2:18" x14ac:dyDescent="0.25">
      <c r="B36" t="s">
        <v>113</v>
      </c>
      <c r="C36" t="s">
        <v>114</v>
      </c>
      <c r="D36" t="s">
        <v>151</v>
      </c>
      <c r="E36" t="s">
        <v>115</v>
      </c>
      <c r="F36" t="s">
        <v>116</v>
      </c>
      <c r="G36" t="s">
        <v>63</v>
      </c>
      <c r="H36" t="s">
        <v>117</v>
      </c>
      <c r="I36" t="str">
        <f t="shared" si="0"/>
        <v>Range("A24").value=ComboBox5.Text</v>
      </c>
      <c r="J36" t="s">
        <v>235</v>
      </c>
      <c r="N36" t="s">
        <v>286</v>
      </c>
      <c r="O36" t="s">
        <v>62</v>
      </c>
      <c r="P36" t="s">
        <v>287</v>
      </c>
      <c r="Q36" t="str">
        <f t="shared" si="1"/>
        <v>Me.ComboBox4.Value=""</v>
      </c>
      <c r="R36" t="s">
        <v>321</v>
      </c>
    </row>
    <row r="37" spans="2:18" x14ac:dyDescent="0.25">
      <c r="B37" t="s">
        <v>113</v>
      </c>
      <c r="C37" t="s">
        <v>114</v>
      </c>
      <c r="D37" t="s">
        <v>152</v>
      </c>
      <c r="E37" t="s">
        <v>115</v>
      </c>
      <c r="F37" t="s">
        <v>116</v>
      </c>
      <c r="G37" t="s">
        <v>64</v>
      </c>
      <c r="H37" t="s">
        <v>117</v>
      </c>
      <c r="I37" t="str">
        <f t="shared" si="0"/>
        <v>Range("A25").value=ComboBox6.Text</v>
      </c>
      <c r="J37" t="s">
        <v>236</v>
      </c>
      <c r="N37" t="s">
        <v>286</v>
      </c>
      <c r="O37" t="s">
        <v>63</v>
      </c>
      <c r="P37" t="s">
        <v>287</v>
      </c>
      <c r="Q37" t="str">
        <f t="shared" si="1"/>
        <v>Me.ComboBox5.Value=""</v>
      </c>
      <c r="R37" t="s">
        <v>322</v>
      </c>
    </row>
    <row r="38" spans="2:18" x14ac:dyDescent="0.25">
      <c r="B38" t="s">
        <v>113</v>
      </c>
      <c r="C38" t="s">
        <v>114</v>
      </c>
      <c r="D38" t="s">
        <v>153</v>
      </c>
      <c r="E38" t="s">
        <v>115</v>
      </c>
      <c r="F38" t="s">
        <v>116</v>
      </c>
      <c r="G38" t="s">
        <v>65</v>
      </c>
      <c r="H38" t="s">
        <v>117</v>
      </c>
      <c r="I38" t="str">
        <f t="shared" si="0"/>
        <v>Range("A26").value=ComboBox7.Text</v>
      </c>
      <c r="J38" t="s">
        <v>237</v>
      </c>
      <c r="N38" t="s">
        <v>286</v>
      </c>
      <c r="O38" t="s">
        <v>64</v>
      </c>
      <c r="P38" t="s">
        <v>287</v>
      </c>
      <c r="Q38" t="str">
        <f t="shared" si="1"/>
        <v>Me.ComboBox6.Value=""</v>
      </c>
      <c r="R38" t="s">
        <v>323</v>
      </c>
    </row>
    <row r="39" spans="2:18" x14ac:dyDescent="0.25">
      <c r="B39" t="s">
        <v>113</v>
      </c>
      <c r="C39" t="s">
        <v>114</v>
      </c>
      <c r="D39" t="s">
        <v>154</v>
      </c>
      <c r="E39" t="s">
        <v>115</v>
      </c>
      <c r="F39" t="s">
        <v>116</v>
      </c>
      <c r="G39" t="s">
        <v>66</v>
      </c>
      <c r="H39" t="s">
        <v>117</v>
      </c>
      <c r="I39" t="str">
        <f t="shared" si="0"/>
        <v>Range("A27").value=ComboBox8.Text</v>
      </c>
      <c r="J39" t="s">
        <v>238</v>
      </c>
      <c r="N39" t="s">
        <v>286</v>
      </c>
      <c r="O39" t="s">
        <v>65</v>
      </c>
      <c r="P39" t="s">
        <v>287</v>
      </c>
      <c r="Q39" t="str">
        <f t="shared" si="1"/>
        <v>Me.ComboBox7.Value=""</v>
      </c>
      <c r="R39" t="s">
        <v>324</v>
      </c>
    </row>
    <row r="40" spans="2:18" x14ac:dyDescent="0.25">
      <c r="B40" t="s">
        <v>113</v>
      </c>
      <c r="C40" t="s">
        <v>114</v>
      </c>
      <c r="D40" t="s">
        <v>155</v>
      </c>
      <c r="E40" t="s">
        <v>115</v>
      </c>
      <c r="F40" t="s">
        <v>116</v>
      </c>
      <c r="G40" t="s">
        <v>67</v>
      </c>
      <c r="H40" t="s">
        <v>117</v>
      </c>
      <c r="I40" t="str">
        <f t="shared" si="0"/>
        <v>Range("A28").value=ComboBox9.Text</v>
      </c>
      <c r="J40" t="s">
        <v>239</v>
      </c>
      <c r="N40" t="s">
        <v>286</v>
      </c>
      <c r="O40" t="s">
        <v>66</v>
      </c>
      <c r="P40" t="s">
        <v>287</v>
      </c>
      <c r="Q40" t="str">
        <f t="shared" si="1"/>
        <v>Me.ComboBox8.Value=""</v>
      </c>
      <c r="R40" t="s">
        <v>325</v>
      </c>
    </row>
    <row r="41" spans="2:18" x14ac:dyDescent="0.25">
      <c r="B41" t="s">
        <v>113</v>
      </c>
      <c r="C41" t="s">
        <v>114</v>
      </c>
      <c r="D41" t="s">
        <v>156</v>
      </c>
      <c r="E41" t="s">
        <v>115</v>
      </c>
      <c r="F41" t="s">
        <v>116</v>
      </c>
      <c r="G41" t="s">
        <v>68</v>
      </c>
      <c r="H41" t="s">
        <v>117</v>
      </c>
      <c r="I41" t="str">
        <f t="shared" si="0"/>
        <v>Range("A29").value=ComboBox10.Text</v>
      </c>
      <c r="J41" t="s">
        <v>240</v>
      </c>
      <c r="N41" t="s">
        <v>286</v>
      </c>
      <c r="O41" t="s">
        <v>67</v>
      </c>
      <c r="P41" t="s">
        <v>287</v>
      </c>
      <c r="Q41" t="str">
        <f t="shared" si="1"/>
        <v>Me.ComboBox9.Value=""</v>
      </c>
      <c r="R41" t="s">
        <v>326</v>
      </c>
    </row>
    <row r="42" spans="2:18" x14ac:dyDescent="0.25">
      <c r="B42" t="s">
        <v>113</v>
      </c>
      <c r="C42" t="s">
        <v>114</v>
      </c>
      <c r="D42" t="s">
        <v>157</v>
      </c>
      <c r="E42" t="s">
        <v>115</v>
      </c>
      <c r="F42" t="s">
        <v>116</v>
      </c>
      <c r="G42" t="s">
        <v>69</v>
      </c>
      <c r="H42" t="s">
        <v>117</v>
      </c>
      <c r="I42" t="str">
        <f t="shared" si="0"/>
        <v>Range("A30").value=ComboBox11.Text</v>
      </c>
      <c r="J42" t="s">
        <v>241</v>
      </c>
      <c r="N42" t="s">
        <v>286</v>
      </c>
      <c r="O42" t="s">
        <v>68</v>
      </c>
      <c r="P42" t="s">
        <v>287</v>
      </c>
      <c r="Q42" t="str">
        <f t="shared" si="1"/>
        <v>Me.ComboBox10.Value=""</v>
      </c>
      <c r="R42" t="s">
        <v>327</v>
      </c>
    </row>
    <row r="43" spans="2:18" x14ac:dyDescent="0.25">
      <c r="B43" t="s">
        <v>113</v>
      </c>
      <c r="C43" t="s">
        <v>114</v>
      </c>
      <c r="D43" t="s">
        <v>158</v>
      </c>
      <c r="E43" t="s">
        <v>115</v>
      </c>
      <c r="F43" t="s">
        <v>116</v>
      </c>
      <c r="G43" t="s">
        <v>70</v>
      </c>
      <c r="H43" t="s">
        <v>117</v>
      </c>
      <c r="I43" t="str">
        <f t="shared" si="0"/>
        <v>Range("A31").value=ComboBox12.Text</v>
      </c>
      <c r="J43" t="s">
        <v>242</v>
      </c>
      <c r="N43" t="s">
        <v>286</v>
      </c>
      <c r="O43" t="s">
        <v>69</v>
      </c>
      <c r="P43" t="s">
        <v>287</v>
      </c>
      <c r="Q43" t="str">
        <f t="shared" si="1"/>
        <v>Me.ComboBox11.Value=""</v>
      </c>
      <c r="R43" t="s">
        <v>328</v>
      </c>
    </row>
    <row r="44" spans="2:18" x14ac:dyDescent="0.25">
      <c r="B44" t="s">
        <v>113</v>
      </c>
      <c r="C44" t="s">
        <v>114</v>
      </c>
      <c r="D44" t="s">
        <v>159</v>
      </c>
      <c r="E44" t="s">
        <v>115</v>
      </c>
      <c r="F44" t="s">
        <v>116</v>
      </c>
      <c r="G44" t="s">
        <v>71</v>
      </c>
      <c r="H44" t="s">
        <v>117</v>
      </c>
      <c r="I44" t="str">
        <f t="shared" si="0"/>
        <v>Range("A32").value=ComboBox13.Text</v>
      </c>
      <c r="J44" t="s">
        <v>243</v>
      </c>
      <c r="N44" t="s">
        <v>286</v>
      </c>
      <c r="O44" t="s">
        <v>70</v>
      </c>
      <c r="P44" t="s">
        <v>287</v>
      </c>
      <c r="Q44" t="str">
        <f t="shared" si="1"/>
        <v>Me.ComboBox12.Value=""</v>
      </c>
      <c r="R44" t="s">
        <v>329</v>
      </c>
    </row>
    <row r="45" spans="2:18" x14ac:dyDescent="0.25">
      <c r="B45" t="s">
        <v>113</v>
      </c>
      <c r="C45" t="s">
        <v>114</v>
      </c>
      <c r="D45" t="s">
        <v>160</v>
      </c>
      <c r="E45" t="s">
        <v>115</v>
      </c>
      <c r="F45" t="s">
        <v>116</v>
      </c>
      <c r="G45" t="s">
        <v>72</v>
      </c>
      <c r="H45" t="s">
        <v>117</v>
      </c>
      <c r="I45" t="str">
        <f t="shared" si="0"/>
        <v>Range("A33").value=ComboBox14.Text</v>
      </c>
      <c r="J45" t="s">
        <v>244</v>
      </c>
      <c r="N45" t="s">
        <v>286</v>
      </c>
      <c r="O45" t="s">
        <v>71</v>
      </c>
      <c r="P45" t="s">
        <v>287</v>
      </c>
      <c r="Q45" t="str">
        <f t="shared" si="1"/>
        <v>Me.ComboBox13.Value=""</v>
      </c>
      <c r="R45" t="s">
        <v>330</v>
      </c>
    </row>
    <row r="46" spans="2:18" x14ac:dyDescent="0.25">
      <c r="B46" t="s">
        <v>113</v>
      </c>
      <c r="C46" t="s">
        <v>114</v>
      </c>
      <c r="D46" t="s">
        <v>161</v>
      </c>
      <c r="E46" t="s">
        <v>115</v>
      </c>
      <c r="F46" t="s">
        <v>116</v>
      </c>
      <c r="G46" t="s">
        <v>73</v>
      </c>
      <c r="H46" t="s">
        <v>117</v>
      </c>
      <c r="I46" t="str">
        <f t="shared" si="0"/>
        <v>Range("B24").value=ComboBox15.Text</v>
      </c>
      <c r="J46" t="s">
        <v>245</v>
      </c>
      <c r="N46" t="s">
        <v>286</v>
      </c>
      <c r="O46" t="s">
        <v>72</v>
      </c>
      <c r="P46" t="s">
        <v>287</v>
      </c>
      <c r="Q46" t="str">
        <f t="shared" si="1"/>
        <v>Me.ComboBox14.Value=""</v>
      </c>
      <c r="R46" t="s">
        <v>331</v>
      </c>
    </row>
    <row r="47" spans="2:18" x14ac:dyDescent="0.25">
      <c r="B47" t="s">
        <v>113</v>
      </c>
      <c r="C47" t="s">
        <v>114</v>
      </c>
      <c r="D47" t="s">
        <v>162</v>
      </c>
      <c r="E47" t="s">
        <v>115</v>
      </c>
      <c r="F47" t="s">
        <v>116</v>
      </c>
      <c r="G47" t="s">
        <v>74</v>
      </c>
      <c r="H47" t="s">
        <v>117</v>
      </c>
      <c r="I47" t="str">
        <f t="shared" si="0"/>
        <v>Range("B25").value=ComboBox16.Text</v>
      </c>
      <c r="J47" t="s">
        <v>246</v>
      </c>
      <c r="N47" t="s">
        <v>286</v>
      </c>
      <c r="O47" t="s">
        <v>73</v>
      </c>
      <c r="P47" t="s">
        <v>287</v>
      </c>
      <c r="Q47" t="str">
        <f t="shared" si="1"/>
        <v>Me.ComboBox15.Value=""</v>
      </c>
      <c r="R47" t="s">
        <v>332</v>
      </c>
    </row>
    <row r="48" spans="2:18" x14ac:dyDescent="0.25">
      <c r="B48" t="s">
        <v>113</v>
      </c>
      <c r="C48" t="s">
        <v>114</v>
      </c>
      <c r="D48" t="s">
        <v>163</v>
      </c>
      <c r="E48" t="s">
        <v>115</v>
      </c>
      <c r="F48" t="s">
        <v>116</v>
      </c>
      <c r="G48" t="s">
        <v>75</v>
      </c>
      <c r="H48" t="s">
        <v>117</v>
      </c>
      <c r="I48" t="str">
        <f t="shared" si="0"/>
        <v>Range("B26").value=ComboBox17.Text</v>
      </c>
      <c r="J48" t="s">
        <v>247</v>
      </c>
      <c r="N48" t="s">
        <v>286</v>
      </c>
      <c r="O48" t="s">
        <v>74</v>
      </c>
      <c r="P48" t="s">
        <v>287</v>
      </c>
      <c r="Q48" t="str">
        <f t="shared" si="1"/>
        <v>Me.ComboBox16.Value=""</v>
      </c>
      <c r="R48" t="s">
        <v>333</v>
      </c>
    </row>
    <row r="49" spans="2:18" x14ac:dyDescent="0.25">
      <c r="B49" t="s">
        <v>113</v>
      </c>
      <c r="C49" t="s">
        <v>114</v>
      </c>
      <c r="D49" t="s">
        <v>164</v>
      </c>
      <c r="E49" t="s">
        <v>115</v>
      </c>
      <c r="F49" t="s">
        <v>116</v>
      </c>
      <c r="G49" t="s">
        <v>76</v>
      </c>
      <c r="H49" t="s">
        <v>117</v>
      </c>
      <c r="I49" t="str">
        <f t="shared" si="0"/>
        <v>Range("B27").value=ComboBox18.Text</v>
      </c>
      <c r="J49" t="s">
        <v>248</v>
      </c>
      <c r="N49" t="s">
        <v>286</v>
      </c>
      <c r="O49" t="s">
        <v>75</v>
      </c>
      <c r="P49" t="s">
        <v>287</v>
      </c>
      <c r="Q49" t="str">
        <f t="shared" si="1"/>
        <v>Me.ComboBox17.Value=""</v>
      </c>
      <c r="R49" t="s">
        <v>334</v>
      </c>
    </row>
    <row r="50" spans="2:18" x14ac:dyDescent="0.25">
      <c r="B50" t="s">
        <v>113</v>
      </c>
      <c r="C50" t="s">
        <v>114</v>
      </c>
      <c r="D50" t="s">
        <v>165</v>
      </c>
      <c r="E50" t="s">
        <v>115</v>
      </c>
      <c r="F50" t="s">
        <v>116</v>
      </c>
      <c r="G50" t="s">
        <v>77</v>
      </c>
      <c r="H50" t="s">
        <v>117</v>
      </c>
      <c r="I50" t="str">
        <f t="shared" si="0"/>
        <v>Range("B28").value=ComboBox19.Text</v>
      </c>
      <c r="J50" t="s">
        <v>249</v>
      </c>
      <c r="N50" t="s">
        <v>286</v>
      </c>
      <c r="O50" t="s">
        <v>76</v>
      </c>
      <c r="P50" t="s">
        <v>287</v>
      </c>
      <c r="Q50" t="str">
        <f t="shared" si="1"/>
        <v>Me.ComboBox18.Value=""</v>
      </c>
      <c r="R50" t="s">
        <v>335</v>
      </c>
    </row>
    <row r="51" spans="2:18" x14ac:dyDescent="0.25">
      <c r="B51" t="s">
        <v>113</v>
      </c>
      <c r="C51" t="s">
        <v>114</v>
      </c>
      <c r="D51" t="s">
        <v>166</v>
      </c>
      <c r="E51" t="s">
        <v>115</v>
      </c>
      <c r="F51" t="s">
        <v>116</v>
      </c>
      <c r="G51" t="s">
        <v>78</v>
      </c>
      <c r="H51" t="s">
        <v>117</v>
      </c>
      <c r="I51" t="str">
        <f t="shared" si="0"/>
        <v>Range("B29").value=ComboBox20.Text</v>
      </c>
      <c r="J51" t="s">
        <v>250</v>
      </c>
      <c r="N51" t="s">
        <v>286</v>
      </c>
      <c r="O51" t="s">
        <v>77</v>
      </c>
      <c r="P51" t="s">
        <v>287</v>
      </c>
      <c r="Q51" t="str">
        <f t="shared" si="1"/>
        <v>Me.ComboBox19.Value=""</v>
      </c>
      <c r="R51" t="s">
        <v>336</v>
      </c>
    </row>
    <row r="52" spans="2:18" x14ac:dyDescent="0.25">
      <c r="B52" t="s">
        <v>113</v>
      </c>
      <c r="C52" t="s">
        <v>114</v>
      </c>
      <c r="D52" t="s">
        <v>167</v>
      </c>
      <c r="E52" t="s">
        <v>115</v>
      </c>
      <c r="F52" t="s">
        <v>116</v>
      </c>
      <c r="G52" t="s">
        <v>79</v>
      </c>
      <c r="H52" t="s">
        <v>117</v>
      </c>
      <c r="I52" t="str">
        <f t="shared" si="0"/>
        <v>Range("B30").value=ComboBox21.Text</v>
      </c>
      <c r="J52" t="s">
        <v>251</v>
      </c>
      <c r="N52" t="s">
        <v>286</v>
      </c>
      <c r="O52" t="s">
        <v>78</v>
      </c>
      <c r="P52" t="s">
        <v>287</v>
      </c>
      <c r="Q52" t="str">
        <f t="shared" si="1"/>
        <v>Me.ComboBox20.Value=""</v>
      </c>
      <c r="R52" t="s">
        <v>337</v>
      </c>
    </row>
    <row r="53" spans="2:18" x14ac:dyDescent="0.25">
      <c r="B53" t="s">
        <v>113</v>
      </c>
      <c r="C53" t="s">
        <v>114</v>
      </c>
      <c r="D53" t="s">
        <v>168</v>
      </c>
      <c r="E53" t="s">
        <v>115</v>
      </c>
      <c r="F53" t="s">
        <v>116</v>
      </c>
      <c r="G53" t="s">
        <v>80</v>
      </c>
      <c r="H53" t="s">
        <v>117</v>
      </c>
      <c r="I53" t="str">
        <f t="shared" si="0"/>
        <v>Range("B31").value=ComboBox22.Text</v>
      </c>
      <c r="J53" t="s">
        <v>252</v>
      </c>
      <c r="N53" t="s">
        <v>286</v>
      </c>
      <c r="O53" t="s">
        <v>79</v>
      </c>
      <c r="P53" t="s">
        <v>287</v>
      </c>
      <c r="Q53" t="str">
        <f t="shared" si="1"/>
        <v>Me.ComboBox21.Value=""</v>
      </c>
      <c r="R53" t="s">
        <v>338</v>
      </c>
    </row>
    <row r="54" spans="2:18" x14ac:dyDescent="0.25">
      <c r="B54" t="s">
        <v>113</v>
      </c>
      <c r="C54" t="s">
        <v>114</v>
      </c>
      <c r="D54" t="s">
        <v>169</v>
      </c>
      <c r="E54" t="s">
        <v>115</v>
      </c>
      <c r="F54" t="s">
        <v>116</v>
      </c>
      <c r="G54" t="s">
        <v>81</v>
      </c>
      <c r="H54" t="s">
        <v>117</v>
      </c>
      <c r="I54" t="str">
        <f t="shared" si="0"/>
        <v>Range("B32").value=ComboBox23.Text</v>
      </c>
      <c r="J54" t="s">
        <v>253</v>
      </c>
      <c r="N54" t="s">
        <v>286</v>
      </c>
      <c r="O54" t="s">
        <v>80</v>
      </c>
      <c r="P54" t="s">
        <v>287</v>
      </c>
      <c r="Q54" t="str">
        <f t="shared" si="1"/>
        <v>Me.ComboBox22.Value=""</v>
      </c>
      <c r="R54" t="s">
        <v>339</v>
      </c>
    </row>
    <row r="55" spans="2:18" x14ac:dyDescent="0.25">
      <c r="B55" t="s">
        <v>113</v>
      </c>
      <c r="C55" t="s">
        <v>114</v>
      </c>
      <c r="D55" t="s">
        <v>170</v>
      </c>
      <c r="E55" t="s">
        <v>115</v>
      </c>
      <c r="F55" t="s">
        <v>116</v>
      </c>
      <c r="G55" t="s">
        <v>82</v>
      </c>
      <c r="H55" t="s">
        <v>117</v>
      </c>
      <c r="I55" t="str">
        <f t="shared" si="0"/>
        <v>Range("B33").value=ComboBox24.Text</v>
      </c>
      <c r="J55" t="s">
        <v>254</v>
      </c>
      <c r="N55" t="s">
        <v>286</v>
      </c>
      <c r="O55" t="s">
        <v>81</v>
      </c>
      <c r="P55" t="s">
        <v>287</v>
      </c>
      <c r="Q55" t="str">
        <f t="shared" si="1"/>
        <v>Me.ComboBox23.Value=""</v>
      </c>
      <c r="R55" t="s">
        <v>340</v>
      </c>
    </row>
    <row r="56" spans="2:18" x14ac:dyDescent="0.25">
      <c r="B56" t="s">
        <v>113</v>
      </c>
      <c r="C56" t="s">
        <v>114</v>
      </c>
      <c r="D56" t="s">
        <v>171</v>
      </c>
      <c r="E56" t="s">
        <v>115</v>
      </c>
      <c r="F56" t="s">
        <v>116</v>
      </c>
      <c r="G56" t="s">
        <v>83</v>
      </c>
      <c r="H56" t="s">
        <v>117</v>
      </c>
      <c r="I56" t="str">
        <f t="shared" si="0"/>
        <v>Range("G24").value=ComboBox25.Text</v>
      </c>
      <c r="J56" t="s">
        <v>255</v>
      </c>
      <c r="N56" t="s">
        <v>286</v>
      </c>
      <c r="O56" t="s">
        <v>82</v>
      </c>
      <c r="P56" t="s">
        <v>287</v>
      </c>
      <c r="Q56" t="str">
        <f t="shared" si="1"/>
        <v>Me.ComboBox24.Value=""</v>
      </c>
      <c r="R56" t="s">
        <v>341</v>
      </c>
    </row>
    <row r="57" spans="2:18" x14ac:dyDescent="0.25">
      <c r="B57" t="s">
        <v>113</v>
      </c>
      <c r="C57" t="s">
        <v>114</v>
      </c>
      <c r="D57" t="s">
        <v>172</v>
      </c>
      <c r="E57" t="s">
        <v>115</v>
      </c>
      <c r="F57" t="s">
        <v>116</v>
      </c>
      <c r="G57" t="s">
        <v>84</v>
      </c>
      <c r="H57" t="s">
        <v>117</v>
      </c>
      <c r="I57" t="str">
        <f t="shared" si="0"/>
        <v>Range("G25").value=ComboBox26.Text</v>
      </c>
      <c r="J57" t="s">
        <v>256</v>
      </c>
      <c r="N57" t="s">
        <v>286</v>
      </c>
      <c r="O57" t="s">
        <v>83</v>
      </c>
      <c r="P57" t="s">
        <v>287</v>
      </c>
      <c r="Q57" t="str">
        <f t="shared" si="1"/>
        <v>Me.ComboBox25.Value=""</v>
      </c>
      <c r="R57" t="s">
        <v>342</v>
      </c>
    </row>
    <row r="58" spans="2:18" x14ac:dyDescent="0.25">
      <c r="B58" t="s">
        <v>113</v>
      </c>
      <c r="C58" t="s">
        <v>114</v>
      </c>
      <c r="D58" t="s">
        <v>173</v>
      </c>
      <c r="E58" t="s">
        <v>115</v>
      </c>
      <c r="F58" t="s">
        <v>116</v>
      </c>
      <c r="G58" t="s">
        <v>85</v>
      </c>
      <c r="H58" t="s">
        <v>117</v>
      </c>
      <c r="I58" t="str">
        <f t="shared" si="0"/>
        <v>Range("G26").value=ComboBox27.Text</v>
      </c>
      <c r="J58" t="s">
        <v>257</v>
      </c>
      <c r="N58" t="s">
        <v>286</v>
      </c>
      <c r="O58" t="s">
        <v>84</v>
      </c>
      <c r="P58" t="s">
        <v>287</v>
      </c>
      <c r="Q58" t="str">
        <f t="shared" si="1"/>
        <v>Me.ComboBox26.Value=""</v>
      </c>
      <c r="R58" t="s">
        <v>343</v>
      </c>
    </row>
    <row r="59" spans="2:18" x14ac:dyDescent="0.25">
      <c r="B59" t="s">
        <v>113</v>
      </c>
      <c r="C59" t="s">
        <v>114</v>
      </c>
      <c r="D59" t="s">
        <v>174</v>
      </c>
      <c r="E59" t="s">
        <v>115</v>
      </c>
      <c r="F59" t="s">
        <v>116</v>
      </c>
      <c r="G59" t="s">
        <v>86</v>
      </c>
      <c r="H59" t="s">
        <v>117</v>
      </c>
      <c r="I59" t="str">
        <f t="shared" si="0"/>
        <v>Range("G27").value=ComboBox28.Text</v>
      </c>
      <c r="J59" t="s">
        <v>258</v>
      </c>
      <c r="N59" t="s">
        <v>286</v>
      </c>
      <c r="O59" t="s">
        <v>85</v>
      </c>
      <c r="P59" t="s">
        <v>287</v>
      </c>
      <c r="Q59" t="str">
        <f t="shared" si="1"/>
        <v>Me.ComboBox27.Value=""</v>
      </c>
      <c r="R59" t="s">
        <v>344</v>
      </c>
    </row>
    <row r="60" spans="2:18" x14ac:dyDescent="0.25">
      <c r="B60" t="s">
        <v>113</v>
      </c>
      <c r="C60" t="s">
        <v>114</v>
      </c>
      <c r="D60" t="s">
        <v>175</v>
      </c>
      <c r="E60" t="s">
        <v>115</v>
      </c>
      <c r="F60" t="s">
        <v>116</v>
      </c>
      <c r="G60" t="s">
        <v>87</v>
      </c>
      <c r="H60" t="s">
        <v>117</v>
      </c>
      <c r="I60" t="str">
        <f t="shared" si="0"/>
        <v>Range("G28").value=ComboBox29.Text</v>
      </c>
      <c r="J60" t="s">
        <v>259</v>
      </c>
      <c r="N60" t="s">
        <v>286</v>
      </c>
      <c r="O60" t="s">
        <v>86</v>
      </c>
      <c r="P60" t="s">
        <v>287</v>
      </c>
      <c r="Q60" t="str">
        <f t="shared" si="1"/>
        <v>Me.ComboBox28.Value=""</v>
      </c>
      <c r="R60" t="s">
        <v>345</v>
      </c>
    </row>
    <row r="61" spans="2:18" x14ac:dyDescent="0.25">
      <c r="B61" t="s">
        <v>113</v>
      </c>
      <c r="C61" t="s">
        <v>114</v>
      </c>
      <c r="D61" t="s">
        <v>176</v>
      </c>
      <c r="E61" t="s">
        <v>115</v>
      </c>
      <c r="F61" t="s">
        <v>116</v>
      </c>
      <c r="G61" t="s">
        <v>88</v>
      </c>
      <c r="H61" t="s">
        <v>117</v>
      </c>
      <c r="I61" t="str">
        <f t="shared" si="0"/>
        <v>Range("G29").value=ComboBox30.Text</v>
      </c>
      <c r="J61" t="s">
        <v>260</v>
      </c>
      <c r="N61" t="s">
        <v>286</v>
      </c>
      <c r="O61" t="s">
        <v>87</v>
      </c>
      <c r="P61" t="s">
        <v>287</v>
      </c>
      <c r="Q61" t="str">
        <f t="shared" si="1"/>
        <v>Me.ComboBox29.Value=""</v>
      </c>
      <c r="R61" t="s">
        <v>346</v>
      </c>
    </row>
    <row r="62" spans="2:18" x14ac:dyDescent="0.25">
      <c r="B62" t="s">
        <v>113</v>
      </c>
      <c r="C62" t="s">
        <v>114</v>
      </c>
      <c r="D62" t="s">
        <v>177</v>
      </c>
      <c r="E62" t="s">
        <v>115</v>
      </c>
      <c r="F62" t="s">
        <v>116</v>
      </c>
      <c r="G62" t="s">
        <v>89</v>
      </c>
      <c r="H62" t="s">
        <v>117</v>
      </c>
      <c r="I62" t="str">
        <f t="shared" si="0"/>
        <v>Range("G30").value=ComboBox31.Text</v>
      </c>
      <c r="J62" t="s">
        <v>261</v>
      </c>
      <c r="N62" t="s">
        <v>286</v>
      </c>
      <c r="O62" t="s">
        <v>88</v>
      </c>
      <c r="P62" t="s">
        <v>287</v>
      </c>
      <c r="Q62" t="str">
        <f t="shared" si="1"/>
        <v>Me.ComboBox30.Value=""</v>
      </c>
      <c r="R62" t="s">
        <v>347</v>
      </c>
    </row>
    <row r="63" spans="2:18" x14ac:dyDescent="0.25">
      <c r="B63" t="s">
        <v>113</v>
      </c>
      <c r="C63" t="s">
        <v>114</v>
      </c>
      <c r="D63" t="s">
        <v>178</v>
      </c>
      <c r="E63" t="s">
        <v>115</v>
      </c>
      <c r="F63" t="s">
        <v>116</v>
      </c>
      <c r="G63" t="s">
        <v>90</v>
      </c>
      <c r="H63" t="s">
        <v>117</v>
      </c>
      <c r="I63" t="str">
        <f t="shared" si="0"/>
        <v>Range("G31").value=ComboBox32.Text</v>
      </c>
      <c r="J63" t="s">
        <v>262</v>
      </c>
      <c r="N63" t="s">
        <v>286</v>
      </c>
      <c r="O63" t="s">
        <v>89</v>
      </c>
      <c r="P63" t="s">
        <v>287</v>
      </c>
      <c r="Q63" t="str">
        <f t="shared" si="1"/>
        <v>Me.ComboBox31.Value=""</v>
      </c>
      <c r="R63" t="s">
        <v>348</v>
      </c>
    </row>
    <row r="64" spans="2:18" x14ac:dyDescent="0.25">
      <c r="B64" t="s">
        <v>113</v>
      </c>
      <c r="C64" t="s">
        <v>114</v>
      </c>
      <c r="D64" t="s">
        <v>179</v>
      </c>
      <c r="E64" t="s">
        <v>115</v>
      </c>
      <c r="F64" t="s">
        <v>116</v>
      </c>
      <c r="G64" t="s">
        <v>91</v>
      </c>
      <c r="H64" t="s">
        <v>117</v>
      </c>
      <c r="I64" t="str">
        <f t="shared" si="0"/>
        <v>Range("G32").value=ComboBox33.Text</v>
      </c>
      <c r="J64" t="s">
        <v>263</v>
      </c>
      <c r="N64" t="s">
        <v>286</v>
      </c>
      <c r="O64" t="s">
        <v>90</v>
      </c>
      <c r="P64" t="s">
        <v>287</v>
      </c>
      <c r="Q64" t="str">
        <f t="shared" si="1"/>
        <v>Me.ComboBox32.Value=""</v>
      </c>
      <c r="R64" t="s">
        <v>349</v>
      </c>
    </row>
    <row r="65" spans="2:18" x14ac:dyDescent="0.25">
      <c r="B65" t="s">
        <v>113</v>
      </c>
      <c r="C65" t="s">
        <v>114</v>
      </c>
      <c r="D65" t="s">
        <v>180</v>
      </c>
      <c r="E65" t="s">
        <v>115</v>
      </c>
      <c r="F65" t="s">
        <v>116</v>
      </c>
      <c r="G65" t="s">
        <v>92</v>
      </c>
      <c r="H65" t="s">
        <v>117</v>
      </c>
      <c r="I65" t="str">
        <f t="shared" si="0"/>
        <v>Range("G33").value=ComboBox34.Text</v>
      </c>
      <c r="J65" t="s">
        <v>264</v>
      </c>
      <c r="N65" t="s">
        <v>286</v>
      </c>
      <c r="O65" t="s">
        <v>91</v>
      </c>
      <c r="P65" t="s">
        <v>287</v>
      </c>
      <c r="Q65" t="str">
        <f t="shared" si="1"/>
        <v>Me.ComboBox33.Value=""</v>
      </c>
      <c r="R65" t="s">
        <v>350</v>
      </c>
    </row>
    <row r="66" spans="2:18" x14ac:dyDescent="0.25">
      <c r="B66" t="s">
        <v>113</v>
      </c>
      <c r="C66" t="s">
        <v>114</v>
      </c>
      <c r="D66" t="s">
        <v>181</v>
      </c>
      <c r="E66" t="s">
        <v>115</v>
      </c>
      <c r="F66" t="s">
        <v>116</v>
      </c>
      <c r="G66" t="s">
        <v>93</v>
      </c>
      <c r="H66" t="s">
        <v>117</v>
      </c>
      <c r="I66" t="str">
        <f t="shared" si="0"/>
        <v>Range("I24").value=ComboBox35.Text</v>
      </c>
      <c r="J66" t="s">
        <v>265</v>
      </c>
      <c r="N66" t="s">
        <v>286</v>
      </c>
      <c r="O66" t="s">
        <v>92</v>
      </c>
      <c r="P66" t="s">
        <v>287</v>
      </c>
      <c r="Q66" t="str">
        <f t="shared" si="1"/>
        <v>Me.ComboBox34.Value=""</v>
      </c>
      <c r="R66" t="s">
        <v>351</v>
      </c>
    </row>
    <row r="67" spans="2:18" x14ac:dyDescent="0.25">
      <c r="B67" t="s">
        <v>113</v>
      </c>
      <c r="C67" t="s">
        <v>114</v>
      </c>
      <c r="D67" t="s">
        <v>182</v>
      </c>
      <c r="E67" t="s">
        <v>115</v>
      </c>
      <c r="F67" t="s">
        <v>116</v>
      </c>
      <c r="G67" t="s">
        <v>94</v>
      </c>
      <c r="H67" t="s">
        <v>117</v>
      </c>
      <c r="I67" t="str">
        <f t="shared" ref="I67:I85" si="2">B67&amp;C67&amp;D67&amp;E67&amp;F67&amp;G67&amp;H67</f>
        <v>Range("I25").value=ComboBox36.Text</v>
      </c>
      <c r="J67" t="s">
        <v>266</v>
      </c>
      <c r="N67" t="s">
        <v>286</v>
      </c>
      <c r="O67" t="s">
        <v>93</v>
      </c>
      <c r="P67" t="s">
        <v>287</v>
      </c>
      <c r="Q67" t="str">
        <f t="shared" si="1"/>
        <v>Me.ComboBox35.Value=""</v>
      </c>
      <c r="R67" t="s">
        <v>352</v>
      </c>
    </row>
    <row r="68" spans="2:18" x14ac:dyDescent="0.25">
      <c r="B68" t="s">
        <v>113</v>
      </c>
      <c r="C68" t="s">
        <v>114</v>
      </c>
      <c r="D68" t="s">
        <v>183</v>
      </c>
      <c r="E68" t="s">
        <v>115</v>
      </c>
      <c r="F68" t="s">
        <v>116</v>
      </c>
      <c r="G68" t="s">
        <v>95</v>
      </c>
      <c r="H68" t="s">
        <v>117</v>
      </c>
      <c r="I68" t="str">
        <f t="shared" si="2"/>
        <v>Range("I26").value=ComboBox37.Text</v>
      </c>
      <c r="J68" t="s">
        <v>267</v>
      </c>
      <c r="N68" t="s">
        <v>286</v>
      </c>
      <c r="O68" t="s">
        <v>94</v>
      </c>
      <c r="P68" t="s">
        <v>287</v>
      </c>
      <c r="Q68" t="str">
        <f t="shared" ref="Q68:Q86" si="3">N68&amp;O68&amp;P68</f>
        <v>Me.ComboBox36.Value=""</v>
      </c>
      <c r="R68" t="s">
        <v>353</v>
      </c>
    </row>
    <row r="69" spans="2:18" x14ac:dyDescent="0.25">
      <c r="B69" t="s">
        <v>113</v>
      </c>
      <c r="C69" t="s">
        <v>114</v>
      </c>
      <c r="D69" t="s">
        <v>184</v>
      </c>
      <c r="E69" t="s">
        <v>115</v>
      </c>
      <c r="F69" t="s">
        <v>116</v>
      </c>
      <c r="G69" t="s">
        <v>96</v>
      </c>
      <c r="H69" t="s">
        <v>117</v>
      </c>
      <c r="I69" t="str">
        <f t="shared" si="2"/>
        <v>Range("I27").value=ComboBox38.Text</v>
      </c>
      <c r="J69" t="s">
        <v>268</v>
      </c>
      <c r="N69" t="s">
        <v>286</v>
      </c>
      <c r="O69" t="s">
        <v>95</v>
      </c>
      <c r="P69" t="s">
        <v>287</v>
      </c>
      <c r="Q69" t="str">
        <f t="shared" si="3"/>
        <v>Me.ComboBox37.Value=""</v>
      </c>
      <c r="R69" t="s">
        <v>354</v>
      </c>
    </row>
    <row r="70" spans="2:18" x14ac:dyDescent="0.25">
      <c r="B70" t="s">
        <v>113</v>
      </c>
      <c r="C70" t="s">
        <v>114</v>
      </c>
      <c r="D70" t="s">
        <v>185</v>
      </c>
      <c r="E70" t="s">
        <v>115</v>
      </c>
      <c r="F70" t="s">
        <v>116</v>
      </c>
      <c r="G70" t="s">
        <v>97</v>
      </c>
      <c r="H70" t="s">
        <v>117</v>
      </c>
      <c r="I70" t="str">
        <f t="shared" si="2"/>
        <v>Range("I28").value=ComboBox39.Text</v>
      </c>
      <c r="J70" t="s">
        <v>269</v>
      </c>
      <c r="N70" t="s">
        <v>286</v>
      </c>
      <c r="O70" t="s">
        <v>96</v>
      </c>
      <c r="P70" t="s">
        <v>287</v>
      </c>
      <c r="Q70" t="str">
        <f t="shared" si="3"/>
        <v>Me.ComboBox38.Value=""</v>
      </c>
      <c r="R70" t="s">
        <v>355</v>
      </c>
    </row>
    <row r="71" spans="2:18" x14ac:dyDescent="0.25">
      <c r="B71" t="s">
        <v>113</v>
      </c>
      <c r="C71" t="s">
        <v>114</v>
      </c>
      <c r="D71" t="s">
        <v>186</v>
      </c>
      <c r="E71" t="s">
        <v>115</v>
      </c>
      <c r="F71" t="s">
        <v>116</v>
      </c>
      <c r="G71" t="s">
        <v>98</v>
      </c>
      <c r="H71" t="s">
        <v>117</v>
      </c>
      <c r="I71" t="str">
        <f t="shared" si="2"/>
        <v>Range("I29").value=ComboBox40.Text</v>
      </c>
      <c r="J71" t="s">
        <v>270</v>
      </c>
      <c r="N71" t="s">
        <v>286</v>
      </c>
      <c r="O71" t="s">
        <v>97</v>
      </c>
      <c r="P71" t="s">
        <v>287</v>
      </c>
      <c r="Q71" t="str">
        <f t="shared" si="3"/>
        <v>Me.ComboBox39.Value=""</v>
      </c>
      <c r="R71" t="s">
        <v>356</v>
      </c>
    </row>
    <row r="72" spans="2:18" x14ac:dyDescent="0.25">
      <c r="B72" t="s">
        <v>113</v>
      </c>
      <c r="C72" t="s">
        <v>114</v>
      </c>
      <c r="D72" t="s">
        <v>187</v>
      </c>
      <c r="E72" t="s">
        <v>115</v>
      </c>
      <c r="F72" t="s">
        <v>116</v>
      </c>
      <c r="G72" t="s">
        <v>99</v>
      </c>
      <c r="H72" t="s">
        <v>117</v>
      </c>
      <c r="I72" t="str">
        <f t="shared" si="2"/>
        <v>Range("I30").value=ComboBox41.Text</v>
      </c>
      <c r="J72" t="s">
        <v>271</v>
      </c>
      <c r="N72" t="s">
        <v>286</v>
      </c>
      <c r="O72" t="s">
        <v>98</v>
      </c>
      <c r="P72" t="s">
        <v>287</v>
      </c>
      <c r="Q72" t="str">
        <f t="shared" si="3"/>
        <v>Me.ComboBox40.Value=""</v>
      </c>
      <c r="R72" t="s">
        <v>357</v>
      </c>
    </row>
    <row r="73" spans="2:18" x14ac:dyDescent="0.25">
      <c r="B73" t="s">
        <v>113</v>
      </c>
      <c r="C73" t="s">
        <v>114</v>
      </c>
      <c r="D73" t="s">
        <v>188</v>
      </c>
      <c r="E73" t="s">
        <v>115</v>
      </c>
      <c r="F73" t="s">
        <v>116</v>
      </c>
      <c r="G73" t="s">
        <v>100</v>
      </c>
      <c r="H73" t="s">
        <v>117</v>
      </c>
      <c r="I73" t="str">
        <f t="shared" si="2"/>
        <v>Range("I31").value=ComboBox42.Text</v>
      </c>
      <c r="J73" t="s">
        <v>272</v>
      </c>
      <c r="N73" t="s">
        <v>286</v>
      </c>
      <c r="O73" t="s">
        <v>99</v>
      </c>
      <c r="P73" t="s">
        <v>287</v>
      </c>
      <c r="Q73" t="str">
        <f t="shared" si="3"/>
        <v>Me.ComboBox41.Value=""</v>
      </c>
      <c r="R73" t="s">
        <v>358</v>
      </c>
    </row>
    <row r="74" spans="2:18" x14ac:dyDescent="0.25">
      <c r="B74" t="s">
        <v>113</v>
      </c>
      <c r="C74" t="s">
        <v>114</v>
      </c>
      <c r="D74" t="s">
        <v>189</v>
      </c>
      <c r="E74" t="s">
        <v>115</v>
      </c>
      <c r="F74" t="s">
        <v>116</v>
      </c>
      <c r="G74" t="s">
        <v>101</v>
      </c>
      <c r="H74" t="s">
        <v>117</v>
      </c>
      <c r="I74" t="str">
        <f t="shared" si="2"/>
        <v>Range("I32").value=ComboBox43.Text</v>
      </c>
      <c r="J74" t="s">
        <v>273</v>
      </c>
      <c r="N74" t="s">
        <v>286</v>
      </c>
      <c r="O74" t="s">
        <v>100</v>
      </c>
      <c r="P74" t="s">
        <v>287</v>
      </c>
      <c r="Q74" t="str">
        <f t="shared" si="3"/>
        <v>Me.ComboBox42.Value=""</v>
      </c>
      <c r="R74" t="s">
        <v>359</v>
      </c>
    </row>
    <row r="75" spans="2:18" x14ac:dyDescent="0.25">
      <c r="B75" t="s">
        <v>113</v>
      </c>
      <c r="C75" t="s">
        <v>114</v>
      </c>
      <c r="D75" t="s">
        <v>190</v>
      </c>
      <c r="E75" t="s">
        <v>115</v>
      </c>
      <c r="F75" t="s">
        <v>116</v>
      </c>
      <c r="G75" t="s">
        <v>102</v>
      </c>
      <c r="H75" t="s">
        <v>117</v>
      </c>
      <c r="I75" t="str">
        <f t="shared" si="2"/>
        <v>Range("I33").value=ComboBox44.Text</v>
      </c>
      <c r="J75" t="s">
        <v>274</v>
      </c>
      <c r="N75" t="s">
        <v>286</v>
      </c>
      <c r="O75" t="s">
        <v>101</v>
      </c>
      <c r="P75" t="s">
        <v>287</v>
      </c>
      <c r="Q75" t="str">
        <f t="shared" si="3"/>
        <v>Me.ComboBox43.Value=""</v>
      </c>
      <c r="R75" t="s">
        <v>360</v>
      </c>
    </row>
    <row r="76" spans="2:18" x14ac:dyDescent="0.25">
      <c r="B76" t="s">
        <v>113</v>
      </c>
      <c r="C76" t="s">
        <v>114</v>
      </c>
      <c r="D76" t="s">
        <v>191</v>
      </c>
      <c r="E76" t="s">
        <v>115</v>
      </c>
      <c r="F76" t="s">
        <v>116</v>
      </c>
      <c r="G76" t="s">
        <v>103</v>
      </c>
      <c r="H76" t="s">
        <v>117</v>
      </c>
      <c r="I76" t="str">
        <f t="shared" si="2"/>
        <v>Range("N24").value=ComboBox45.Text</v>
      </c>
      <c r="J76" t="s">
        <v>275</v>
      </c>
      <c r="N76" t="s">
        <v>286</v>
      </c>
      <c r="O76" t="s">
        <v>102</v>
      </c>
      <c r="P76" t="s">
        <v>287</v>
      </c>
      <c r="Q76" t="str">
        <f t="shared" si="3"/>
        <v>Me.ComboBox44.Value=""</v>
      </c>
      <c r="R76" t="s">
        <v>361</v>
      </c>
    </row>
    <row r="77" spans="2:18" x14ac:dyDescent="0.25">
      <c r="B77" t="s">
        <v>113</v>
      </c>
      <c r="C77" t="s">
        <v>114</v>
      </c>
      <c r="D77" t="s">
        <v>192</v>
      </c>
      <c r="E77" t="s">
        <v>115</v>
      </c>
      <c r="F77" t="s">
        <v>116</v>
      </c>
      <c r="G77" t="s">
        <v>104</v>
      </c>
      <c r="H77" t="s">
        <v>117</v>
      </c>
      <c r="I77" t="str">
        <f t="shared" si="2"/>
        <v>Range("N25").value=ComboBox46.Text</v>
      </c>
      <c r="J77" t="s">
        <v>276</v>
      </c>
      <c r="N77" t="s">
        <v>286</v>
      </c>
      <c r="O77" t="s">
        <v>103</v>
      </c>
      <c r="P77" t="s">
        <v>287</v>
      </c>
      <c r="Q77" t="str">
        <f t="shared" si="3"/>
        <v>Me.ComboBox45.Value=""</v>
      </c>
      <c r="R77" t="s">
        <v>362</v>
      </c>
    </row>
    <row r="78" spans="2:18" x14ac:dyDescent="0.25">
      <c r="B78" t="s">
        <v>113</v>
      </c>
      <c r="C78" t="s">
        <v>114</v>
      </c>
      <c r="D78" t="s">
        <v>193</v>
      </c>
      <c r="E78" t="s">
        <v>115</v>
      </c>
      <c r="F78" t="s">
        <v>116</v>
      </c>
      <c r="G78" t="s">
        <v>105</v>
      </c>
      <c r="H78" t="s">
        <v>117</v>
      </c>
      <c r="I78" t="str">
        <f t="shared" si="2"/>
        <v>Range("N26").value=ComboBox47.Text</v>
      </c>
      <c r="J78" t="s">
        <v>277</v>
      </c>
      <c r="N78" t="s">
        <v>286</v>
      </c>
      <c r="O78" t="s">
        <v>104</v>
      </c>
      <c r="P78" t="s">
        <v>287</v>
      </c>
      <c r="Q78" t="str">
        <f t="shared" si="3"/>
        <v>Me.ComboBox46.Value=""</v>
      </c>
      <c r="R78" t="s">
        <v>363</v>
      </c>
    </row>
    <row r="79" spans="2:18" x14ac:dyDescent="0.25">
      <c r="B79" t="s">
        <v>113</v>
      </c>
      <c r="C79" t="s">
        <v>114</v>
      </c>
      <c r="D79" t="s">
        <v>194</v>
      </c>
      <c r="E79" t="s">
        <v>115</v>
      </c>
      <c r="F79" t="s">
        <v>116</v>
      </c>
      <c r="G79" t="s">
        <v>106</v>
      </c>
      <c r="H79" t="s">
        <v>117</v>
      </c>
      <c r="I79" t="str">
        <f t="shared" si="2"/>
        <v>Range("N27").value=ComboBox48.Text</v>
      </c>
      <c r="J79" t="s">
        <v>278</v>
      </c>
      <c r="N79" t="s">
        <v>286</v>
      </c>
      <c r="O79" t="s">
        <v>105</v>
      </c>
      <c r="P79" t="s">
        <v>287</v>
      </c>
      <c r="Q79" t="str">
        <f t="shared" si="3"/>
        <v>Me.ComboBox47.Value=""</v>
      </c>
      <c r="R79" t="s">
        <v>364</v>
      </c>
    </row>
    <row r="80" spans="2:18" x14ac:dyDescent="0.25">
      <c r="B80" t="s">
        <v>113</v>
      </c>
      <c r="C80" t="s">
        <v>114</v>
      </c>
      <c r="D80" t="s">
        <v>195</v>
      </c>
      <c r="E80" t="s">
        <v>115</v>
      </c>
      <c r="F80" t="s">
        <v>116</v>
      </c>
      <c r="G80" t="s">
        <v>107</v>
      </c>
      <c r="H80" t="s">
        <v>117</v>
      </c>
      <c r="I80" t="str">
        <f t="shared" si="2"/>
        <v>Range("N28").value=ComboBox49.Text</v>
      </c>
      <c r="J80" t="s">
        <v>279</v>
      </c>
      <c r="N80" t="s">
        <v>286</v>
      </c>
      <c r="O80" t="s">
        <v>106</v>
      </c>
      <c r="P80" t="s">
        <v>287</v>
      </c>
      <c r="Q80" t="str">
        <f t="shared" si="3"/>
        <v>Me.ComboBox48.Value=""</v>
      </c>
      <c r="R80" t="s">
        <v>365</v>
      </c>
    </row>
    <row r="81" spans="2:18" x14ac:dyDescent="0.25">
      <c r="B81" t="s">
        <v>113</v>
      </c>
      <c r="C81" t="s">
        <v>114</v>
      </c>
      <c r="D81" t="s">
        <v>196</v>
      </c>
      <c r="E81" t="s">
        <v>115</v>
      </c>
      <c r="F81" t="s">
        <v>116</v>
      </c>
      <c r="G81" t="s">
        <v>108</v>
      </c>
      <c r="H81" t="s">
        <v>117</v>
      </c>
      <c r="I81" t="str">
        <f t="shared" si="2"/>
        <v>Range("N29").value=ComboBox50.Text</v>
      </c>
      <c r="J81" t="s">
        <v>280</v>
      </c>
      <c r="N81" t="s">
        <v>286</v>
      </c>
      <c r="O81" t="s">
        <v>107</v>
      </c>
      <c r="P81" t="s">
        <v>287</v>
      </c>
      <c r="Q81" t="str">
        <f t="shared" si="3"/>
        <v>Me.ComboBox49.Value=""</v>
      </c>
      <c r="R81" t="s">
        <v>366</v>
      </c>
    </row>
    <row r="82" spans="2:18" x14ac:dyDescent="0.25">
      <c r="B82" t="s">
        <v>113</v>
      </c>
      <c r="C82" t="s">
        <v>114</v>
      </c>
      <c r="D82" t="s">
        <v>197</v>
      </c>
      <c r="E82" t="s">
        <v>115</v>
      </c>
      <c r="F82" t="s">
        <v>116</v>
      </c>
      <c r="G82" t="s">
        <v>109</v>
      </c>
      <c r="H82" t="s">
        <v>117</v>
      </c>
      <c r="I82" t="str">
        <f t="shared" si="2"/>
        <v>Range("N30").value=ComboBox51.Text</v>
      </c>
      <c r="J82" t="s">
        <v>281</v>
      </c>
      <c r="N82" t="s">
        <v>286</v>
      </c>
      <c r="O82" t="s">
        <v>108</v>
      </c>
      <c r="P82" t="s">
        <v>287</v>
      </c>
      <c r="Q82" t="str">
        <f t="shared" si="3"/>
        <v>Me.ComboBox50.Value=""</v>
      </c>
      <c r="R82" t="s">
        <v>367</v>
      </c>
    </row>
    <row r="83" spans="2:18" x14ac:dyDescent="0.25">
      <c r="B83" t="s">
        <v>113</v>
      </c>
      <c r="C83" t="s">
        <v>114</v>
      </c>
      <c r="D83" t="s">
        <v>198</v>
      </c>
      <c r="E83" t="s">
        <v>115</v>
      </c>
      <c r="F83" t="s">
        <v>116</v>
      </c>
      <c r="G83" t="s">
        <v>110</v>
      </c>
      <c r="H83" t="s">
        <v>117</v>
      </c>
      <c r="I83" t="str">
        <f t="shared" si="2"/>
        <v>Range("N31").value=ComboBox52.Text</v>
      </c>
      <c r="J83" t="s">
        <v>282</v>
      </c>
      <c r="N83" t="s">
        <v>286</v>
      </c>
      <c r="O83" t="s">
        <v>109</v>
      </c>
      <c r="P83" t="s">
        <v>287</v>
      </c>
      <c r="Q83" t="str">
        <f t="shared" si="3"/>
        <v>Me.ComboBox51.Value=""</v>
      </c>
      <c r="R83" t="s">
        <v>368</v>
      </c>
    </row>
    <row r="84" spans="2:18" x14ac:dyDescent="0.25">
      <c r="B84" t="s">
        <v>113</v>
      </c>
      <c r="C84" t="s">
        <v>114</v>
      </c>
      <c r="D84" t="s">
        <v>199</v>
      </c>
      <c r="E84" t="s">
        <v>115</v>
      </c>
      <c r="F84" t="s">
        <v>116</v>
      </c>
      <c r="G84" t="s">
        <v>111</v>
      </c>
      <c r="H84" t="s">
        <v>117</v>
      </c>
      <c r="I84" t="str">
        <f t="shared" si="2"/>
        <v>Range("N32").value=ComboBox53.Text</v>
      </c>
      <c r="J84" t="s">
        <v>283</v>
      </c>
      <c r="N84" t="s">
        <v>286</v>
      </c>
      <c r="O84" t="s">
        <v>110</v>
      </c>
      <c r="P84" t="s">
        <v>287</v>
      </c>
      <c r="Q84" t="str">
        <f t="shared" si="3"/>
        <v>Me.ComboBox52.Value=""</v>
      </c>
      <c r="R84" t="s">
        <v>369</v>
      </c>
    </row>
    <row r="85" spans="2:18" x14ac:dyDescent="0.25">
      <c r="B85" t="s">
        <v>113</v>
      </c>
      <c r="C85" t="s">
        <v>114</v>
      </c>
      <c r="D85" t="s">
        <v>200</v>
      </c>
      <c r="E85" t="s">
        <v>115</v>
      </c>
      <c r="F85" t="s">
        <v>116</v>
      </c>
      <c r="G85" t="s">
        <v>112</v>
      </c>
      <c r="H85" t="s">
        <v>117</v>
      </c>
      <c r="I85" t="str">
        <f t="shared" si="2"/>
        <v>Range("N33").value=ComboBox54.Text</v>
      </c>
      <c r="J85" t="s">
        <v>284</v>
      </c>
      <c r="N85" t="s">
        <v>286</v>
      </c>
      <c r="O85" t="s">
        <v>111</v>
      </c>
      <c r="P85" t="s">
        <v>287</v>
      </c>
      <c r="Q85" t="str">
        <f t="shared" si="3"/>
        <v>Me.ComboBox53.Value=""</v>
      </c>
      <c r="R85" t="s">
        <v>370</v>
      </c>
    </row>
    <row r="86" spans="2:18" x14ac:dyDescent="0.25">
      <c r="N86" t="s">
        <v>286</v>
      </c>
      <c r="O86" t="s">
        <v>112</v>
      </c>
      <c r="P86" t="s">
        <v>287</v>
      </c>
      <c r="Q86" t="str">
        <f t="shared" si="3"/>
        <v>Me.ComboBox54.Value=""</v>
      </c>
      <c r="R86" t="s">
        <v>371</v>
      </c>
    </row>
  </sheetData>
  <sheetProtection password="FE4B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TxInv</vt:lpstr>
      <vt:lpstr>Outsource</vt:lpstr>
      <vt:lpstr>Sheet3</vt:lpstr>
      <vt:lpstr>Sheet1</vt:lpstr>
      <vt:lpstr>Date</vt:lpstr>
      <vt:lpstr>HSN_SAC</vt:lpstr>
      <vt:lpstr>Material</vt:lpstr>
      <vt:lpstr>Place</vt:lpstr>
      <vt:lpstr>Srmo1</vt:lpstr>
      <vt:lpstr>Srmo10</vt:lpstr>
      <vt:lpstr>Srmo2</vt:lpstr>
      <vt:lpstr>Srmo3</vt:lpstr>
      <vt:lpstr>Srmo4</vt:lpstr>
      <vt:lpstr>Srmo5</vt:lpstr>
      <vt:lpstr>Srmo6</vt:lpstr>
      <vt:lpstr>Srmo7</vt:lpstr>
      <vt:lpstr>Srmo8</vt:lpstr>
      <vt:lpstr>Srmo9</vt:lpstr>
      <vt:lpstr>Tax</vt:lpstr>
      <vt:lpstr>Termofpayment</vt:lpstr>
      <vt:lpstr>Time</vt:lpstr>
      <vt:lpstr>Unit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KM60109</dc:creator>
  <cp:lastModifiedBy>Prafull PC</cp:lastModifiedBy>
  <cp:lastPrinted>2025-08-19T08:54:56Z</cp:lastPrinted>
  <dcterms:created xsi:type="dcterms:W3CDTF">2018-01-29T22:23:43Z</dcterms:created>
  <dcterms:modified xsi:type="dcterms:W3CDTF">2025-08-19T08:54:59Z</dcterms:modified>
</cp:coreProperties>
</file>